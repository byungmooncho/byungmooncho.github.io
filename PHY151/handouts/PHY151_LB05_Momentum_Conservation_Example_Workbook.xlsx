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ab 5 Analysis" sheetId="2" state="visible" r:id="rId2"/>
    <sheet xmlns:r="http://schemas.openxmlformats.org/officeDocument/2006/relationships" name="Worked 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6">
    <font>
      <name val="Calibri"/>
      <family val="2"/>
      <color theme="1"/>
      <sz val="11"/>
      <scheme val="minor"/>
    </font>
    <font>
      <b val="1"/>
      <color rgb="00134A29"/>
      <sz val="13"/>
    </font>
    <font>
      <i val="1"/>
      <color rgb="005C6B62"/>
      <sz val="9"/>
    </font>
    <font>
      <b val="1"/>
      <color rgb="00FFFFFF"/>
    </font>
    <font>
      <b val="1"/>
    </font>
    <font>
      <b val="1"/>
      <color rgb="00134A29"/>
    </font>
  </fonts>
  <fills count="5">
    <fill>
      <patternFill/>
    </fill>
    <fill>
      <patternFill patternType="gray125"/>
    </fill>
    <fill>
      <patternFill patternType="solid">
        <fgColor rgb="001E6B3C"/>
      </patternFill>
    </fill>
    <fill>
      <patternFill patternType="solid">
        <fgColor rgb="00FFF4E0"/>
      </patternFill>
    </fill>
    <fill>
      <patternFill patternType="solid">
        <fgColor rgb="00EAF3ED"/>
      </patternFill>
    </fill>
  </fills>
  <borders count="2">
    <border>
      <left/>
      <right/>
      <top/>
      <bottom/>
      <diagonal/>
    </border>
    <border>
      <left style="thin">
        <color rgb="00D7E2DA"/>
      </left>
      <right style="thin">
        <color rgb="00D7E2DA"/>
      </right>
      <top style="thin">
        <color rgb="00D7E2DA"/>
      </top>
      <bottom style="thin">
        <color rgb="00D7E2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3" borderId="1" pivotButton="0" quotePrefix="0" xfId="0"/>
    <xf numFmtId="164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Lab 5 — Momentum Conservation · raw position-vs-time data</t>
        </is>
      </c>
    </row>
    <row r="2" ht="58" customHeight="1">
      <c r="A2" s="2" t="inlineStr">
        <is>
          <t>The same three runs as the Graphical Analysis files. Two ultrasonic sensors face each other along the track; cart B's positions are recorded as negative numbers so that BOTH columns increase for motion in the same physical direction — they are ready to be used together, and cart B must NOT be sign-flipped. Each run is 100 samples at 0.05 s. Each cart sits still for part of every run; fit only the stretch where it is genuinely moving freely, and never across the interaction.</t>
        </is>
      </c>
    </row>
    <row r="3" ht="32" customHeight="1">
      <c r="A3" s="3" t="inlineStr">
        <is>
          <t>Time (s)</t>
        </is>
      </c>
      <c r="B3" s="3" t="inlineStr">
        <is>
          <t>Pt1 cart A position (m)</t>
        </is>
      </c>
      <c r="C3" s="3" t="inlineStr">
        <is>
          <t>Pt1 cart B position (m)</t>
        </is>
      </c>
      <c r="D3" s="3" t="inlineStr">
        <is>
          <t>Pt2 cart A position (m)</t>
        </is>
      </c>
      <c r="E3" s="3" t="inlineStr">
        <is>
          <t>Pt2 cart B position (m)</t>
        </is>
      </c>
      <c r="F3" s="3" t="inlineStr">
        <is>
          <t>Pt3 cart A position (m)</t>
        </is>
      </c>
      <c r="G3" s="3" t="inlineStr">
        <is>
          <t>Pt3 cart B position (m)</t>
        </is>
      </c>
    </row>
    <row r="4">
      <c r="A4" t="n">
        <v>0.05</v>
      </c>
      <c r="B4" t="n">
        <v>0.158825</v>
      </c>
      <c r="C4" t="n">
        <v>-0.515628</v>
      </c>
      <c r="D4" t="n">
        <v>0.168518</v>
      </c>
      <c r="E4" t="n">
        <v>-0.162715</v>
      </c>
      <c r="F4" t="n">
        <v>0.15682</v>
      </c>
      <c r="G4" t="n">
        <v>-0.590625</v>
      </c>
    </row>
    <row r="5">
      <c r="A5" t="n">
        <v>0.1</v>
      </c>
      <c r="B5" t="n">
        <v>0.160778</v>
      </c>
      <c r="C5" t="n">
        <v>-0.515369</v>
      </c>
      <c r="D5" t="n">
        <v>0.168087</v>
      </c>
      <c r="E5" t="n">
        <v>-0.162784</v>
      </c>
      <c r="F5" t="n">
        <v>0.156803</v>
      </c>
      <c r="G5" t="n">
        <v>-0.590677</v>
      </c>
    </row>
    <row r="6">
      <c r="A6" t="n">
        <v>0.15</v>
      </c>
      <c r="B6" t="n">
        <v>0.160536</v>
      </c>
      <c r="C6" t="n">
        <v>-0.515197</v>
      </c>
      <c r="D6" t="n">
        <v>0.168294</v>
      </c>
      <c r="E6" t="n">
        <v>-0.162646</v>
      </c>
      <c r="F6" t="n">
        <v>0.156647</v>
      </c>
      <c r="G6" t="n">
        <v>-0.590625</v>
      </c>
    </row>
    <row r="7">
      <c r="A7" t="n">
        <v>0.2</v>
      </c>
      <c r="B7" t="n">
        <v>0.160743</v>
      </c>
      <c r="C7" t="n">
        <v>-0.5162330000000001</v>
      </c>
      <c r="D7" t="n">
        <v>0.168207</v>
      </c>
      <c r="E7" t="n">
        <v>-0.160676</v>
      </c>
      <c r="F7" t="n">
        <v>0.157028</v>
      </c>
      <c r="G7" t="n">
        <v>-0.5906940000000001</v>
      </c>
    </row>
    <row r="8">
      <c r="A8" t="n">
        <v>0.25</v>
      </c>
      <c r="B8" t="n">
        <v>0.163214</v>
      </c>
      <c r="C8" t="n">
        <v>-0.517268</v>
      </c>
      <c r="D8" t="n">
        <v>0.168087</v>
      </c>
      <c r="E8" t="n">
        <v>-0.160694</v>
      </c>
      <c r="F8" t="n">
        <v>0.157684</v>
      </c>
      <c r="G8" t="n">
        <v>-0.590711</v>
      </c>
    </row>
    <row r="9">
      <c r="A9" t="n">
        <v>0.3</v>
      </c>
      <c r="B9" t="n">
        <v>0.159033</v>
      </c>
      <c r="C9" t="n">
        <v>-0.5170439999999999</v>
      </c>
      <c r="D9" t="n">
        <v>0.17095</v>
      </c>
      <c r="E9" t="n">
        <v>-0.160521</v>
      </c>
      <c r="F9" t="n">
        <v>0.156112</v>
      </c>
      <c r="G9" t="n">
        <v>-0.590711</v>
      </c>
    </row>
    <row r="10">
      <c r="A10" t="n">
        <v>0.35</v>
      </c>
      <c r="B10" t="n">
        <v>0.160934</v>
      </c>
      <c r="C10" t="n">
        <v>-0.517268</v>
      </c>
      <c r="D10" t="n">
        <v>0.167742</v>
      </c>
      <c r="E10" t="n">
        <v>-0.160521</v>
      </c>
      <c r="F10" t="n">
        <v>0.158064</v>
      </c>
      <c r="G10" t="n">
        <v>-0.5906940000000001</v>
      </c>
    </row>
    <row r="11">
      <c r="A11" t="n">
        <v>0.4</v>
      </c>
      <c r="B11" t="n">
        <v>0.156735</v>
      </c>
      <c r="C11" t="n">
        <v>-0.517925</v>
      </c>
      <c r="D11" t="n">
        <v>0.171192</v>
      </c>
      <c r="E11" t="n">
        <v>-0.160745</v>
      </c>
      <c r="F11" t="n">
        <v>0.156095</v>
      </c>
      <c r="G11" t="n">
        <v>-0.590642</v>
      </c>
    </row>
    <row r="12">
      <c r="A12" t="n">
        <v>0.45</v>
      </c>
      <c r="B12" t="n">
        <v>0.157495</v>
      </c>
      <c r="C12" t="n">
        <v>-0.518166</v>
      </c>
      <c r="D12" t="n">
        <v>0.167259</v>
      </c>
      <c r="E12" t="n">
        <v>-0.160642</v>
      </c>
      <c r="F12" t="n">
        <v>0.156198</v>
      </c>
      <c r="G12" t="n">
        <v>-0.590711</v>
      </c>
    </row>
    <row r="13">
      <c r="A13" t="n">
        <v>0.5</v>
      </c>
      <c r="B13" t="n">
        <v>0.157218</v>
      </c>
      <c r="C13" t="n">
        <v>-0.518788</v>
      </c>
      <c r="D13" t="n">
        <v>0.167569</v>
      </c>
      <c r="E13" t="n">
        <v>-0.160555</v>
      </c>
      <c r="F13" t="n">
        <v>0.158807</v>
      </c>
      <c r="G13" t="n">
        <v>-0.5907289999999999</v>
      </c>
    </row>
    <row r="14">
      <c r="A14" t="n">
        <v>0.55</v>
      </c>
      <c r="B14" t="n">
        <v>0.15727</v>
      </c>
      <c r="C14" t="n">
        <v>-0.5192020000000001</v>
      </c>
      <c r="D14" t="n">
        <v>0.168</v>
      </c>
      <c r="E14" t="n">
        <v>-0.160521</v>
      </c>
      <c r="F14" t="n">
        <v>0.15739</v>
      </c>
      <c r="G14" t="n">
        <v>-0.5903659999999999</v>
      </c>
    </row>
    <row r="15">
      <c r="A15" t="n">
        <v>0.6</v>
      </c>
      <c r="B15" t="n">
        <v>0.160778</v>
      </c>
      <c r="C15" t="n">
        <v>-0.520031</v>
      </c>
      <c r="D15" t="n">
        <v>0.171433</v>
      </c>
      <c r="E15" t="n">
        <v>-0.160175</v>
      </c>
      <c r="F15" t="n">
        <v>0.157546</v>
      </c>
      <c r="G15" t="n">
        <v>-0.590763</v>
      </c>
    </row>
    <row r="16">
      <c r="A16" t="n">
        <v>0.65</v>
      </c>
      <c r="B16" t="n">
        <v>0.187976</v>
      </c>
      <c r="C16" t="n">
        <v>-0.520411</v>
      </c>
      <c r="D16" t="n">
        <v>0.161825</v>
      </c>
      <c r="E16" t="n">
        <v>-0.164391</v>
      </c>
      <c r="F16" t="n">
        <v>0.158116</v>
      </c>
      <c r="G16" t="n">
        <v>-0.590487</v>
      </c>
    </row>
    <row r="17">
      <c r="A17" t="n">
        <v>0.7</v>
      </c>
      <c r="B17" t="n">
        <v>0.215399</v>
      </c>
      <c r="C17" t="n">
        <v>-0.520411</v>
      </c>
      <c r="D17" t="n">
        <v>0.167121</v>
      </c>
      <c r="E17" t="n">
        <v>-0.169506</v>
      </c>
      <c r="F17" t="n">
        <v>0.157045</v>
      </c>
      <c r="G17" t="n">
        <v>-0.590332</v>
      </c>
    </row>
    <row r="18">
      <c r="A18" t="n">
        <v>0.75</v>
      </c>
      <c r="B18" t="n">
        <v>0.243046</v>
      </c>
      <c r="C18" t="n">
        <v>-0.520946</v>
      </c>
      <c r="D18" t="n">
        <v>0.160307</v>
      </c>
      <c r="E18" t="n">
        <v>-0.162923</v>
      </c>
      <c r="F18" t="n">
        <v>0.157632</v>
      </c>
      <c r="G18" t="n">
        <v>-0.5903659999999999</v>
      </c>
    </row>
    <row r="19">
      <c r="A19" t="n">
        <v>0.8</v>
      </c>
      <c r="B19" t="n">
        <v>0.270002</v>
      </c>
      <c r="C19" t="n">
        <v>-0.52086</v>
      </c>
      <c r="D19" t="n">
        <v>0.170346</v>
      </c>
      <c r="E19" t="n">
        <v>-0.169973</v>
      </c>
      <c r="F19" t="n">
        <v>0.158617</v>
      </c>
      <c r="G19" t="n">
        <v>-0.590401</v>
      </c>
    </row>
    <row r="20">
      <c r="A20" t="n">
        <v>0.85</v>
      </c>
      <c r="B20" t="n">
        <v>0.297788</v>
      </c>
      <c r="C20" t="n">
        <v>-0.521568</v>
      </c>
      <c r="D20" t="n">
        <v>0.196825</v>
      </c>
      <c r="E20" t="n">
        <v>-0.158464</v>
      </c>
      <c r="F20" t="n">
        <v>0.156526</v>
      </c>
      <c r="G20" t="n">
        <v>-0.590401</v>
      </c>
    </row>
    <row r="21">
      <c r="A21" t="n">
        <v>0.9</v>
      </c>
      <c r="B21" t="n">
        <v>0.326783</v>
      </c>
      <c r="C21" t="n">
        <v>-0.5225</v>
      </c>
      <c r="D21" t="n">
        <v>0.173089</v>
      </c>
      <c r="E21" t="n">
        <v>-0.158274</v>
      </c>
      <c r="F21" t="n">
        <v>0.177656</v>
      </c>
      <c r="G21" t="n">
        <v>-0.590452</v>
      </c>
    </row>
    <row r="22">
      <c r="A22" t="n">
        <v>0.95</v>
      </c>
      <c r="B22" t="n">
        <v>0.353929</v>
      </c>
      <c r="C22" t="n">
        <v>-0.522172</v>
      </c>
      <c r="D22" t="n">
        <v>0.157323</v>
      </c>
      <c r="E22" t="n">
        <v>-0.158223</v>
      </c>
      <c r="F22" t="n">
        <v>0.200082</v>
      </c>
      <c r="G22" t="n">
        <v>-0.590452</v>
      </c>
    </row>
    <row r="23">
      <c r="A23" t="n">
        <v>1</v>
      </c>
      <c r="B23" t="n">
        <v>0.380972</v>
      </c>
      <c r="C23" t="n">
        <v>-0.522396</v>
      </c>
      <c r="D23" t="n">
        <v>0.156754</v>
      </c>
      <c r="E23" t="n">
        <v>-0.155233</v>
      </c>
      <c r="F23" t="n">
        <v>0.22237</v>
      </c>
      <c r="G23" t="n">
        <v>-0.590521</v>
      </c>
    </row>
    <row r="24">
      <c r="A24" t="n">
        <v>1.05</v>
      </c>
      <c r="B24" t="n">
        <v>0.408101</v>
      </c>
      <c r="C24" t="n">
        <v>-0.522569</v>
      </c>
      <c r="D24" t="n">
        <v>0.157668</v>
      </c>
      <c r="E24" t="n">
        <v>-0.157151</v>
      </c>
      <c r="F24" t="n">
        <v>0.244796</v>
      </c>
      <c r="G24" t="n">
        <v>-0.590539</v>
      </c>
    </row>
    <row r="25">
      <c r="A25" t="n">
        <v>1.1</v>
      </c>
      <c r="B25" t="n">
        <v>0.434936</v>
      </c>
      <c r="C25" t="n">
        <v>-0.5232250000000001</v>
      </c>
      <c r="D25" t="n">
        <v>0.157771</v>
      </c>
      <c r="E25" t="n">
        <v>-0.156978</v>
      </c>
      <c r="F25" t="n">
        <v>0.266841</v>
      </c>
      <c r="G25" t="n">
        <v>-0.590539</v>
      </c>
    </row>
    <row r="26">
      <c r="A26" t="n">
        <v>1.15</v>
      </c>
      <c r="B26" t="n">
        <v>0.46184</v>
      </c>
      <c r="C26" t="n">
        <v>-0.523501</v>
      </c>
      <c r="D26" t="n">
        <v>0.162067</v>
      </c>
      <c r="E26" t="n">
        <v>-0.167433</v>
      </c>
      <c r="F26" t="n">
        <v>0.289492</v>
      </c>
      <c r="G26" t="n">
        <v>-0.590556</v>
      </c>
    </row>
    <row r="27">
      <c r="A27" t="n">
        <v>1.2</v>
      </c>
      <c r="B27" t="n">
        <v>0.489367</v>
      </c>
      <c r="C27" t="n">
        <v>-0.5241749999999999</v>
      </c>
      <c r="D27" t="n">
        <v>0.180748</v>
      </c>
      <c r="E27" t="n">
        <v>-0.184747</v>
      </c>
      <c r="F27" t="n">
        <v>0.313403</v>
      </c>
      <c r="G27" t="n">
        <v>-0.590659</v>
      </c>
    </row>
    <row r="28">
      <c r="A28" t="n">
        <v>1.25</v>
      </c>
      <c r="B28" t="n">
        <v>0.5165650000000001</v>
      </c>
      <c r="C28" t="n">
        <v>-0.524382</v>
      </c>
      <c r="D28" t="n">
        <v>0.199999</v>
      </c>
      <c r="E28" t="n">
        <v>-0.202061</v>
      </c>
      <c r="F28" t="n">
        <v>0.335414</v>
      </c>
      <c r="G28" t="n">
        <v>-0.59028</v>
      </c>
    </row>
    <row r="29">
      <c r="A29" t="n">
        <v>1.3</v>
      </c>
      <c r="B29" t="n">
        <v>0.545905</v>
      </c>
      <c r="C29" t="n">
        <v>-0.525297</v>
      </c>
      <c r="D29" t="n">
        <v>0.219405</v>
      </c>
      <c r="E29" t="n">
        <v>-0.219289</v>
      </c>
      <c r="F29" t="n">
        <v>0.357736</v>
      </c>
      <c r="G29" t="n">
        <v>-0.590263</v>
      </c>
    </row>
    <row r="30">
      <c r="A30" t="n">
        <v>1.35</v>
      </c>
      <c r="B30" t="n">
        <v>0.573207</v>
      </c>
      <c r="C30" t="n">
        <v>-0.525038</v>
      </c>
      <c r="D30" t="n">
        <v>0.238104</v>
      </c>
      <c r="E30" t="n">
        <v>-0.236431</v>
      </c>
      <c r="F30" t="n">
        <v>0.379817</v>
      </c>
      <c r="G30" t="n">
        <v>-0.590349</v>
      </c>
    </row>
    <row r="31">
      <c r="A31" t="n">
        <v>1.4</v>
      </c>
      <c r="B31" t="n">
        <v>0.597191</v>
      </c>
      <c r="C31" t="n">
        <v>-0.525815</v>
      </c>
      <c r="D31" t="n">
        <v>0.256907</v>
      </c>
      <c r="E31" t="n">
        <v>-0.253745</v>
      </c>
      <c r="F31" t="n">
        <v>0.402346</v>
      </c>
      <c r="G31" t="n">
        <v>-0.590349</v>
      </c>
    </row>
    <row r="32">
      <c r="A32" t="n">
        <v>1.45</v>
      </c>
      <c r="B32" t="n">
        <v>0.604397</v>
      </c>
      <c r="C32" t="n">
        <v>-0.525849</v>
      </c>
      <c r="D32" t="n">
        <v>0.276106</v>
      </c>
      <c r="E32" t="n">
        <v>-0.270628</v>
      </c>
      <c r="F32" t="n">
        <v>0.424236</v>
      </c>
      <c r="G32" t="n">
        <v>-0.5903659999999999</v>
      </c>
    </row>
    <row r="33">
      <c r="A33" t="n">
        <v>1.5</v>
      </c>
      <c r="B33" t="n">
        <v>0.605192</v>
      </c>
      <c r="C33" t="n">
        <v>-0.526091</v>
      </c>
      <c r="D33" t="n">
        <v>0.295133</v>
      </c>
      <c r="E33" t="n">
        <v>-0.287735</v>
      </c>
      <c r="F33" t="n">
        <v>0.445902</v>
      </c>
      <c r="G33" t="n">
        <v>-0.590383</v>
      </c>
    </row>
    <row r="34">
      <c r="A34" t="n">
        <v>1.55</v>
      </c>
      <c r="B34" t="n">
        <v>0.605468</v>
      </c>
      <c r="C34" t="n">
        <v>-0.506788</v>
      </c>
      <c r="D34" t="n">
        <v>0.315643</v>
      </c>
      <c r="E34" t="n">
        <v>-0.3046</v>
      </c>
      <c r="F34" t="n">
        <v>0.46831</v>
      </c>
      <c r="G34" t="n">
        <v>-0.590452</v>
      </c>
    </row>
    <row r="35">
      <c r="A35" t="n">
        <v>1.6</v>
      </c>
      <c r="B35" t="n">
        <v>0.605935</v>
      </c>
      <c r="C35" t="n">
        <v>-0.480459</v>
      </c>
      <c r="D35" t="n">
        <v>0.334204</v>
      </c>
      <c r="E35" t="n">
        <v>-0.321448</v>
      </c>
      <c r="F35" t="n">
        <v>0.490494</v>
      </c>
      <c r="G35" t="n">
        <v>-0.590452</v>
      </c>
    </row>
    <row r="36">
      <c r="A36" t="n">
        <v>1.65</v>
      </c>
      <c r="B36" t="n">
        <v>0.606177</v>
      </c>
      <c r="C36" t="n">
        <v>-0.453991</v>
      </c>
      <c r="D36" t="n">
        <v>0.353299</v>
      </c>
      <c r="E36" t="n">
        <v>-0.338157</v>
      </c>
      <c r="F36" t="n">
        <v>0.513127</v>
      </c>
      <c r="G36" t="n">
        <v>-0.5904700000000001</v>
      </c>
    </row>
    <row r="37">
      <c r="A37" t="n">
        <v>1.7</v>
      </c>
      <c r="B37" t="n">
        <v>0.606626</v>
      </c>
      <c r="C37" t="n">
        <v>-0.428058</v>
      </c>
      <c r="D37" t="n">
        <v>0.371895</v>
      </c>
      <c r="E37" t="n">
        <v>-0.354781</v>
      </c>
      <c r="F37" t="n">
        <v>0.535415</v>
      </c>
      <c r="G37" t="n">
        <v>-0.590521</v>
      </c>
    </row>
    <row r="38">
      <c r="A38" t="n">
        <v>1.75</v>
      </c>
      <c r="B38" t="n">
        <v>0.60673</v>
      </c>
      <c r="C38" t="n">
        <v>-0.402005</v>
      </c>
      <c r="D38" t="n">
        <v>0.391008</v>
      </c>
      <c r="E38" t="n">
        <v>-0.371387</v>
      </c>
      <c r="F38" t="n">
        <v>0.559517</v>
      </c>
      <c r="G38" t="n">
        <v>-0.590452</v>
      </c>
    </row>
    <row r="39">
      <c r="A39" t="n">
        <v>1.8</v>
      </c>
      <c r="B39" t="n">
        <v>0.606816</v>
      </c>
      <c r="C39" t="n">
        <v>-0.375744</v>
      </c>
      <c r="D39" t="n">
        <v>0.409793</v>
      </c>
      <c r="E39" t="n">
        <v>-0.38972</v>
      </c>
      <c r="F39" t="n">
        <v>0.581839</v>
      </c>
      <c r="G39" t="n">
        <v>-0.588916</v>
      </c>
    </row>
    <row r="40">
      <c r="A40" t="n">
        <v>1.85</v>
      </c>
      <c r="B40" t="n">
        <v>0.607403</v>
      </c>
      <c r="C40" t="n">
        <v>-0.347446</v>
      </c>
      <c r="D40" t="n">
        <v>0.428095</v>
      </c>
      <c r="E40" t="n">
        <v>-0.405566</v>
      </c>
      <c r="F40" t="n">
        <v>0.601206</v>
      </c>
      <c r="G40" t="n">
        <v>-0.578217</v>
      </c>
    </row>
    <row r="41">
      <c r="A41" t="n">
        <v>1.9</v>
      </c>
      <c r="B41" t="n">
        <v>0.607576</v>
      </c>
      <c r="C41" t="n">
        <v>-0.321254</v>
      </c>
      <c r="D41" t="n">
        <v>0.446639</v>
      </c>
      <c r="E41" t="n">
        <v>-0.421688</v>
      </c>
      <c r="F41" t="n">
        <v>0.610467</v>
      </c>
      <c r="G41" t="n">
        <v>-0.549672</v>
      </c>
    </row>
    <row r="42">
      <c r="A42" t="n">
        <v>1.95</v>
      </c>
      <c r="B42" t="n">
        <v>0.608354</v>
      </c>
      <c r="C42" t="n">
        <v>-0.295235</v>
      </c>
      <c r="D42" t="n">
        <v>0.465251</v>
      </c>
      <c r="E42" t="n">
        <v>-0.437655</v>
      </c>
      <c r="F42" t="n">
        <v>0.618743</v>
      </c>
      <c r="G42" t="n">
        <v>-0.520489</v>
      </c>
    </row>
    <row r="43">
      <c r="A43" t="n">
        <v>2</v>
      </c>
      <c r="B43" t="n">
        <v>0.610617</v>
      </c>
      <c r="C43" t="n">
        <v>-0.269182</v>
      </c>
      <c r="D43" t="n">
        <v>0.484347</v>
      </c>
      <c r="E43" t="n">
        <v>-0.452947</v>
      </c>
      <c r="F43" t="n">
        <v>0.62669</v>
      </c>
      <c r="G43" t="n">
        <v>-0.491392</v>
      </c>
    </row>
    <row r="44">
      <c r="A44" t="n">
        <v>2.05</v>
      </c>
      <c r="B44" t="n">
        <v>0.610756</v>
      </c>
      <c r="C44" t="n">
        <v>-0.243076</v>
      </c>
      <c r="D44" t="n">
        <v>0.502977</v>
      </c>
      <c r="E44" t="n">
        <v>-0.468914</v>
      </c>
      <c r="F44" t="n">
        <v>0.636555</v>
      </c>
      <c r="G44" t="n">
        <v>-0.461985</v>
      </c>
    </row>
    <row r="45">
      <c r="A45" t="n">
        <v>2.1</v>
      </c>
      <c r="B45" t="n">
        <v>0.611395</v>
      </c>
      <c r="C45" t="n">
        <v>-0.217213</v>
      </c>
      <c r="D45" t="n">
        <v>0.521814</v>
      </c>
      <c r="E45" t="n">
        <v>-0.484811</v>
      </c>
      <c r="F45" t="n">
        <v>0.644624</v>
      </c>
      <c r="G45" t="n">
        <v>-0.433233</v>
      </c>
    </row>
    <row r="46">
      <c r="A46" t="n">
        <v>2.15</v>
      </c>
      <c r="B46" t="n">
        <v>0.611637</v>
      </c>
      <c r="C46" t="n">
        <v>-0.191643</v>
      </c>
      <c r="D46" t="n">
        <v>0.543049</v>
      </c>
      <c r="E46" t="n">
        <v>-0.500398</v>
      </c>
      <c r="F46" t="n">
        <v>0.652606</v>
      </c>
      <c r="G46" t="n">
        <v>-0.404067</v>
      </c>
    </row>
    <row r="47">
      <c r="A47" t="n">
        <v>2.2</v>
      </c>
      <c r="B47" t="n">
        <v>0.611827</v>
      </c>
      <c r="C47" t="n">
        <v>-0.166383</v>
      </c>
      <c r="D47" t="n">
        <v>0.56192</v>
      </c>
      <c r="E47" t="n">
        <v>-0.515967</v>
      </c>
      <c r="F47" t="n">
        <v>0.660467</v>
      </c>
      <c r="G47" t="n">
        <v>-0.374884</v>
      </c>
    </row>
    <row r="48">
      <c r="A48" t="n">
        <v>2.25</v>
      </c>
      <c r="B48" t="n">
        <v>0.612414</v>
      </c>
      <c r="C48" t="n">
        <v>-0.155851</v>
      </c>
      <c r="D48" t="n">
        <v>0.581292</v>
      </c>
      <c r="E48" t="n">
        <v>-0.531467</v>
      </c>
      <c r="F48" t="n">
        <v>0.667844</v>
      </c>
      <c r="G48" t="n">
        <v>-0.343164</v>
      </c>
    </row>
    <row r="49">
      <c r="A49" t="n">
        <v>2.3</v>
      </c>
      <c r="B49" t="n">
        <v>0.612622</v>
      </c>
      <c r="C49" t="n">
        <v>-0.155661</v>
      </c>
      <c r="D49" t="n">
        <v>0.602406</v>
      </c>
      <c r="E49" t="n">
        <v>-0.546639</v>
      </c>
      <c r="F49" t="n">
        <v>0.677364</v>
      </c>
      <c r="G49" t="n">
        <v>-0.314102</v>
      </c>
    </row>
    <row r="50">
      <c r="A50" t="n">
        <v>2.35</v>
      </c>
      <c r="B50" t="n">
        <v>0.613296</v>
      </c>
      <c r="C50" t="n">
        <v>-0.15965</v>
      </c>
      <c r="D50" t="n">
        <v>0.619638</v>
      </c>
      <c r="E50" t="n">
        <v>-0.5602549999999999</v>
      </c>
      <c r="F50" t="n">
        <v>0.685294</v>
      </c>
      <c r="G50" t="n">
        <v>-0.285126</v>
      </c>
    </row>
    <row r="51">
      <c r="A51" t="n">
        <v>2.4</v>
      </c>
      <c r="B51" t="n">
        <v>0.613659</v>
      </c>
      <c r="C51" t="n">
        <v>-0.156991</v>
      </c>
      <c r="D51" t="n">
        <v>0.609909</v>
      </c>
      <c r="E51" t="n">
        <v>-0.547036</v>
      </c>
      <c r="F51" t="n">
        <v>0.692827</v>
      </c>
      <c r="G51" t="n">
        <v>-0.256305</v>
      </c>
    </row>
    <row r="52">
      <c r="A52" t="n">
        <v>2.45</v>
      </c>
      <c r="B52" t="n">
        <v>0.614039</v>
      </c>
      <c r="C52" t="n">
        <v>-0.15744</v>
      </c>
      <c r="D52" t="n">
        <v>0.593091</v>
      </c>
      <c r="E52" t="n">
        <v>-0.529359</v>
      </c>
      <c r="F52" t="n">
        <v>0.700256</v>
      </c>
      <c r="G52" t="n">
        <v>-0.227433</v>
      </c>
    </row>
    <row r="53">
      <c r="A53" t="n">
        <v>2.5</v>
      </c>
      <c r="B53" t="n">
        <v>0.614661</v>
      </c>
      <c r="C53" t="n">
        <v>-0.157077</v>
      </c>
      <c r="D53" t="n">
        <v>0.579135</v>
      </c>
      <c r="E53" t="n">
        <v>-0.511612</v>
      </c>
      <c r="F53" t="n">
        <v>0.7078759999999999</v>
      </c>
      <c r="G53" t="n">
        <v>-0.198785</v>
      </c>
    </row>
    <row r="54">
      <c r="A54" t="n">
        <v>2.55</v>
      </c>
      <c r="B54" t="n">
        <v>0.614989</v>
      </c>
      <c r="C54" t="n">
        <v>-0.167523</v>
      </c>
      <c r="D54" t="n">
        <v>0.564697</v>
      </c>
      <c r="E54" t="n">
        <v>-0.493555</v>
      </c>
      <c r="F54" t="n">
        <v>0.715357</v>
      </c>
      <c r="G54" t="n">
        <v>-0.170447</v>
      </c>
    </row>
    <row r="55">
      <c r="A55" t="n">
        <v>2.6</v>
      </c>
      <c r="B55" t="n">
        <v>0.615352</v>
      </c>
      <c r="C55" t="n">
        <v>-0.171338</v>
      </c>
      <c r="D55" t="n">
        <v>0.550984</v>
      </c>
      <c r="E55" t="n">
        <v>-0.475912</v>
      </c>
      <c r="F55" t="n">
        <v>0.720678</v>
      </c>
      <c r="G55" t="n">
        <v>-0.15671</v>
      </c>
    </row>
    <row r="56">
      <c r="A56" t="n">
        <v>2.65</v>
      </c>
      <c r="B56" t="n">
        <v>0.616043</v>
      </c>
      <c r="C56" t="n">
        <v>-0.166038</v>
      </c>
      <c r="D56" t="n">
        <v>0.534855</v>
      </c>
      <c r="E56" t="n">
        <v>-0.458235</v>
      </c>
      <c r="F56" t="n">
        <v>0.727934</v>
      </c>
      <c r="G56" t="n">
        <v>-0.156658</v>
      </c>
    </row>
    <row r="57">
      <c r="A57" t="n">
        <v>2.7</v>
      </c>
      <c r="B57" t="n">
        <v>0.616441</v>
      </c>
      <c r="C57" t="n">
        <v>-0.163811</v>
      </c>
      <c r="D57" t="n">
        <v>0.5209859999999999</v>
      </c>
      <c r="E57" t="n">
        <v>-0.441232</v>
      </c>
      <c r="F57" t="n">
        <v>0.735053</v>
      </c>
      <c r="G57" t="n">
        <v>-0.158919</v>
      </c>
    </row>
    <row r="58">
      <c r="A58" t="n">
        <v>2.75</v>
      </c>
      <c r="B58" t="n">
        <v>0.617339</v>
      </c>
      <c r="C58" t="n">
        <v>-0.16666</v>
      </c>
      <c r="D58" t="n">
        <v>0.507617</v>
      </c>
      <c r="E58" t="n">
        <v>-0.423779</v>
      </c>
      <c r="F58" t="n">
        <v>0.742499</v>
      </c>
      <c r="G58" t="n">
        <v>-0.160955</v>
      </c>
    </row>
    <row r="59">
      <c r="A59" t="n">
        <v>2.8</v>
      </c>
      <c r="B59" t="n">
        <v>0.617685</v>
      </c>
      <c r="C59" t="n">
        <v>-0.169059</v>
      </c>
      <c r="D59" t="n">
        <v>0.494162</v>
      </c>
      <c r="E59" t="n">
        <v>-0.406465</v>
      </c>
      <c r="F59" t="n">
        <v>0.74979</v>
      </c>
      <c r="G59" t="n">
        <v>-0.172725</v>
      </c>
    </row>
    <row r="60">
      <c r="A60" t="n">
        <v>2.85</v>
      </c>
      <c r="B60" t="n">
        <v>0.617996</v>
      </c>
      <c r="C60" t="n">
        <v>-0.160927</v>
      </c>
      <c r="D60" t="n">
        <v>0.481104</v>
      </c>
      <c r="E60" t="n">
        <v>-0.389081</v>
      </c>
      <c r="F60" t="n">
        <v>0.756822</v>
      </c>
      <c r="G60" t="n">
        <v>-0.193866</v>
      </c>
    </row>
    <row r="61">
      <c r="A61" t="n">
        <v>2.9</v>
      </c>
      <c r="B61" t="n">
        <v>0.6185310000000001</v>
      </c>
      <c r="C61" t="n">
        <v>-0.157129</v>
      </c>
      <c r="D61" t="n">
        <v>0.467718</v>
      </c>
      <c r="E61" t="n">
        <v>-0.371611</v>
      </c>
      <c r="F61" t="n">
        <v>0.764804</v>
      </c>
      <c r="G61" t="n">
        <v>-0.175331</v>
      </c>
    </row>
    <row r="62">
      <c r="A62" t="n">
        <v>2.95</v>
      </c>
      <c r="B62" t="n">
        <v>0.618877</v>
      </c>
      <c r="C62" t="n">
        <v>-0.158061</v>
      </c>
      <c r="D62" t="n">
        <v>0.454591</v>
      </c>
      <c r="E62" t="n">
        <v>-0.352379</v>
      </c>
      <c r="F62" t="n">
        <v>0.77206</v>
      </c>
      <c r="G62" t="n">
        <v>-0.180698</v>
      </c>
    </row>
    <row r="63">
      <c r="A63" t="n">
        <v>3</v>
      </c>
      <c r="B63" t="n">
        <v>0.6196199999999999</v>
      </c>
      <c r="C63" t="n">
        <v>-0.158614</v>
      </c>
      <c r="D63" t="n">
        <v>0.442102</v>
      </c>
      <c r="E63" t="n">
        <v>-0.335116</v>
      </c>
      <c r="F63" t="n">
        <v>0.779489</v>
      </c>
      <c r="G63" t="n">
        <v>-0.180854</v>
      </c>
    </row>
    <row r="64">
      <c r="A64" t="n">
        <v>3.05</v>
      </c>
      <c r="B64" t="n">
        <v>0.620069</v>
      </c>
      <c r="C64" t="n">
        <v>-0.160858</v>
      </c>
      <c r="D64" t="n">
        <v>0.429441</v>
      </c>
      <c r="E64" t="n">
        <v>-0.31775</v>
      </c>
      <c r="F64" t="n">
        <v>0.787195</v>
      </c>
      <c r="G64" t="n">
        <v>-0.182493</v>
      </c>
    </row>
    <row r="65">
      <c r="A65" t="n">
        <v>3.1</v>
      </c>
      <c r="B65" t="n">
        <v>0.620432</v>
      </c>
      <c r="C65" t="n">
        <v>-0.165106</v>
      </c>
      <c r="D65" t="n">
        <v>0.417038</v>
      </c>
      <c r="E65" t="n">
        <v>-0.300643</v>
      </c>
      <c r="F65" t="n">
        <v>0.794676</v>
      </c>
      <c r="G65" t="n">
        <v>-0.18679</v>
      </c>
    </row>
    <row r="66">
      <c r="A66" t="n">
        <v>3.15</v>
      </c>
      <c r="B66" t="n">
        <v>0.621158</v>
      </c>
      <c r="C66" t="n">
        <v>-0.161117</v>
      </c>
      <c r="D66" t="n">
        <v>0.404652</v>
      </c>
      <c r="E66" t="n">
        <v>-0.283484</v>
      </c>
      <c r="F66" t="n">
        <v>0.80233</v>
      </c>
      <c r="G66" t="n">
        <v>-0.18522</v>
      </c>
    </row>
    <row r="67">
      <c r="A67" t="n">
        <v>3.2</v>
      </c>
      <c r="B67" t="n">
        <v>0.621607</v>
      </c>
      <c r="C67" t="n">
        <v>-0.164432</v>
      </c>
      <c r="D67" t="n">
        <v>0.392491</v>
      </c>
      <c r="E67" t="n">
        <v>-0.266602</v>
      </c>
      <c r="F67" t="n">
        <v>0.809552</v>
      </c>
      <c r="G67" t="n">
        <v>-0.179663</v>
      </c>
    </row>
    <row r="68">
      <c r="A68" t="n">
        <v>3.25</v>
      </c>
      <c r="B68" t="n">
        <v>0.622039</v>
      </c>
      <c r="C68" t="n">
        <v>-0.167695</v>
      </c>
      <c r="D68" t="n">
        <v>0.380175</v>
      </c>
      <c r="E68" t="n">
        <v>-0.249356</v>
      </c>
      <c r="F68" t="n">
        <v>0.8163589999999999</v>
      </c>
      <c r="G68" t="n">
        <v>-0.181716</v>
      </c>
    </row>
    <row r="69">
      <c r="A69" t="n">
        <v>3.3</v>
      </c>
      <c r="B69" t="n">
        <v>0.622851</v>
      </c>
      <c r="C69" t="n">
        <v>-0.188828</v>
      </c>
      <c r="D69" t="n">
        <v>0.367893</v>
      </c>
      <c r="E69" t="n">
        <v>-0.232284</v>
      </c>
      <c r="F69" t="n">
        <v>0.82574</v>
      </c>
      <c r="G69" t="n">
        <v>-0.178524</v>
      </c>
    </row>
    <row r="70">
      <c r="A70" t="n">
        <v>3.35</v>
      </c>
      <c r="B70" t="n">
        <v>0.623197</v>
      </c>
      <c r="C70" t="n">
        <v>-0.184236</v>
      </c>
      <c r="D70" t="n">
        <v>0.356146</v>
      </c>
      <c r="E70" t="n">
        <v>-0.215626</v>
      </c>
      <c r="F70" t="n">
        <v>0.829006</v>
      </c>
      <c r="G70" t="n">
        <v>-0.177126</v>
      </c>
    </row>
    <row r="71">
      <c r="A71" t="n">
        <v>3.4</v>
      </c>
      <c r="B71" t="n">
        <v>0.623525</v>
      </c>
      <c r="C71" t="n">
        <v>-0.183131</v>
      </c>
      <c r="D71" t="n">
        <v>0.34445</v>
      </c>
      <c r="E71" t="n">
        <v>-0.198968</v>
      </c>
      <c r="F71" t="n">
        <v>0.832271</v>
      </c>
      <c r="G71" t="n">
        <v>-0.170188</v>
      </c>
    </row>
    <row r="72">
      <c r="A72" t="n">
        <v>3.45</v>
      </c>
      <c r="B72" t="n">
        <v>0.624216</v>
      </c>
      <c r="C72" t="n">
        <v>-0.179729</v>
      </c>
      <c r="D72" t="n">
        <v>0.332427</v>
      </c>
      <c r="E72" t="n">
        <v>-0.182483</v>
      </c>
      <c r="F72" t="n">
        <v>0.832738</v>
      </c>
      <c r="G72" t="n">
        <v>-0.185185</v>
      </c>
    </row>
    <row r="73">
      <c r="A73" t="n">
        <v>3.5</v>
      </c>
      <c r="B73" t="n">
        <v>0.624631</v>
      </c>
      <c r="C73" t="n">
        <v>-0.178158</v>
      </c>
      <c r="D73" t="n">
        <v>0.321059</v>
      </c>
      <c r="E73" t="n">
        <v>-0.16605</v>
      </c>
      <c r="F73" t="n">
        <v>0.834345</v>
      </c>
      <c r="G73" t="n">
        <v>-0.181216</v>
      </c>
    </row>
    <row r="74">
      <c r="A74" t="n">
        <v>3.55</v>
      </c>
      <c r="B74" t="n">
        <v>0.625461</v>
      </c>
      <c r="C74" t="n">
        <v>-0.167695</v>
      </c>
      <c r="D74" t="n">
        <v>0.307656</v>
      </c>
      <c r="E74" t="n">
        <v>-0.156909</v>
      </c>
      <c r="F74" t="n">
        <v>0.83101</v>
      </c>
      <c r="G74" t="n">
        <v>-0.176142</v>
      </c>
    </row>
    <row r="75">
      <c r="A75" t="n">
        <v>3.6</v>
      </c>
      <c r="B75" t="n">
        <v>0.625927</v>
      </c>
      <c r="C75" t="n">
        <v>-0.166003</v>
      </c>
      <c r="D75" t="n">
        <v>0.296616</v>
      </c>
      <c r="E75" t="n">
        <v>-0.15551</v>
      </c>
      <c r="F75" t="n">
        <v>0.830423</v>
      </c>
      <c r="G75" t="n">
        <v>-0.193297</v>
      </c>
    </row>
    <row r="76">
      <c r="A76" t="n">
        <v>3.65</v>
      </c>
      <c r="B76" t="n">
        <v>0.6263069999999999</v>
      </c>
      <c r="C76" t="n">
        <v>-0.162896</v>
      </c>
      <c r="D76" t="n">
        <v>0.285248</v>
      </c>
      <c r="E76" t="n">
        <v>-0.156927</v>
      </c>
      <c r="F76" t="n">
        <v>0.830112</v>
      </c>
      <c r="G76" t="n">
        <v>-0.206413</v>
      </c>
    </row>
    <row r="77">
      <c r="A77" t="n">
        <v>3.7</v>
      </c>
      <c r="B77" t="n">
        <v>0.626687</v>
      </c>
      <c r="C77" t="n">
        <v>-0.165365</v>
      </c>
      <c r="D77" t="n">
        <v>0.274001</v>
      </c>
      <c r="E77" t="n">
        <v>-0.156736</v>
      </c>
      <c r="F77" t="n">
        <v>0.829783</v>
      </c>
      <c r="G77" t="n">
        <v>-0.207379</v>
      </c>
    </row>
    <row r="78">
      <c r="A78" t="n">
        <v>3.75</v>
      </c>
      <c r="B78" t="n">
        <v>0.627379</v>
      </c>
      <c r="C78" t="n">
        <v>-0.169284</v>
      </c>
      <c r="D78" t="n">
        <v>0.263375</v>
      </c>
      <c r="E78" t="n">
        <v>-0.161022</v>
      </c>
      <c r="F78" t="n">
        <v>0.829628</v>
      </c>
      <c r="G78" t="n">
        <v>-0.196368</v>
      </c>
    </row>
    <row r="79">
      <c r="A79" t="n">
        <v>3.8</v>
      </c>
      <c r="B79" t="n">
        <v>0.627759</v>
      </c>
      <c r="C79" t="n">
        <v>-0.172219</v>
      </c>
      <c r="D79" t="n">
        <v>0.252491</v>
      </c>
      <c r="E79" t="n">
        <v>-0.178388</v>
      </c>
      <c r="F79" t="n">
        <v>0.8300419999999999</v>
      </c>
      <c r="G79" t="n">
        <v>-0.168031</v>
      </c>
    </row>
    <row r="80">
      <c r="A80" t="n">
        <v>3.85</v>
      </c>
      <c r="B80" t="n">
        <v>0.628433</v>
      </c>
      <c r="C80" t="n">
        <v>-0.172288</v>
      </c>
      <c r="D80" t="n">
        <v>0.242123</v>
      </c>
      <c r="E80" t="n">
        <v>-0.163769</v>
      </c>
      <c r="F80" t="n">
        <v>0.829956</v>
      </c>
      <c r="G80" t="n">
        <v>-0.164044</v>
      </c>
    </row>
    <row r="81">
      <c r="A81" t="n">
        <v>3.9</v>
      </c>
      <c r="B81" t="n">
        <v>0.628865</v>
      </c>
      <c r="C81" t="n">
        <v>-0.172737</v>
      </c>
      <c r="D81" t="n">
        <v>0.231515</v>
      </c>
      <c r="E81" t="n">
        <v>-0.162992</v>
      </c>
      <c r="F81" t="n">
        <v>0.830803</v>
      </c>
      <c r="G81" t="n">
        <v>-0.162854</v>
      </c>
    </row>
    <row r="82">
      <c r="A82" t="n">
        <v>3.95</v>
      </c>
      <c r="B82" t="n">
        <v>0.629176</v>
      </c>
      <c r="C82" t="n">
        <v>-0.175189</v>
      </c>
      <c r="D82" t="n">
        <v>0.220734</v>
      </c>
      <c r="E82" t="n">
        <v>-0.172962</v>
      </c>
      <c r="F82" t="n">
        <v>0.8305090000000001</v>
      </c>
      <c r="G82" t="n">
        <v>-0.162577</v>
      </c>
    </row>
    <row r="83">
      <c r="A83" t="n">
        <v>4</v>
      </c>
      <c r="B83" t="n">
        <v>0.629729</v>
      </c>
      <c r="C83" t="n">
        <v>-0.175171</v>
      </c>
      <c r="D83" t="n">
        <v>0.210608</v>
      </c>
      <c r="E83" t="n">
        <v>-0.168003</v>
      </c>
      <c r="F83" t="n">
        <v>0.829628</v>
      </c>
      <c r="G83" t="n">
        <v>-0.171051</v>
      </c>
    </row>
    <row r="84">
      <c r="A84" t="n">
        <v>4.05</v>
      </c>
      <c r="B84" t="n">
        <v>0.630264</v>
      </c>
      <c r="C84" t="n">
        <v>-0.17524</v>
      </c>
      <c r="D84" t="n">
        <v>0.200189</v>
      </c>
      <c r="E84" t="n">
        <v>-0.167122</v>
      </c>
      <c r="F84" t="n">
        <v>0.8291269999999999</v>
      </c>
      <c r="G84" t="n">
        <v>-0.174227</v>
      </c>
    </row>
    <row r="85">
      <c r="A85" t="n">
        <v>4.1</v>
      </c>
      <c r="B85" t="n">
        <v>0.630368</v>
      </c>
      <c r="C85" t="n">
        <v>-0.175292</v>
      </c>
      <c r="D85" t="n">
        <v>0.190443</v>
      </c>
      <c r="E85" t="n">
        <v>-0.163044</v>
      </c>
      <c r="F85" t="n">
        <v>0.829058</v>
      </c>
      <c r="G85" t="n">
        <v>-0.179732</v>
      </c>
    </row>
    <row r="86">
      <c r="A86" t="n">
        <v>4.15</v>
      </c>
      <c r="B86" t="n">
        <v>0.631042</v>
      </c>
      <c r="C86" t="n">
        <v>-0.175258</v>
      </c>
      <c r="D86" t="n">
        <v>0.180213</v>
      </c>
      <c r="E86" t="n">
        <v>-0.172496</v>
      </c>
      <c r="F86" t="n">
        <v>0.829196</v>
      </c>
      <c r="G86" t="n">
        <v>-0.157555</v>
      </c>
    </row>
    <row r="87">
      <c r="A87" t="n">
        <v>4.2</v>
      </c>
      <c r="B87" t="n">
        <v>0.631284</v>
      </c>
      <c r="C87" t="n">
        <v>-0.173169</v>
      </c>
      <c r="D87" t="n">
        <v>0.170088</v>
      </c>
      <c r="E87" t="n">
        <v>-0.17977</v>
      </c>
      <c r="F87" t="n">
        <v>0.828488</v>
      </c>
      <c r="G87" t="n">
        <v>-0.157245</v>
      </c>
    </row>
    <row r="88">
      <c r="A88" t="n">
        <v>4.25</v>
      </c>
      <c r="B88" t="n">
        <v>0.63372</v>
      </c>
      <c r="C88" t="n">
        <v>-0.17303</v>
      </c>
      <c r="D88" t="n">
        <v>0.160859</v>
      </c>
      <c r="E88" t="n">
        <v>-0.167709</v>
      </c>
      <c r="F88" t="n">
        <v>0.828194</v>
      </c>
      <c r="G88" t="n">
        <v>-0.15916</v>
      </c>
    </row>
    <row r="89">
      <c r="A89" t="n">
        <v>4.3</v>
      </c>
      <c r="B89" t="n">
        <v>0.634377</v>
      </c>
      <c r="C89" t="n">
        <v>-0.173082</v>
      </c>
      <c r="D89" t="n">
        <v>0.15596</v>
      </c>
      <c r="E89" t="n">
        <v>-0.161177</v>
      </c>
      <c r="F89" t="n">
        <v>0.827796</v>
      </c>
      <c r="G89" t="n">
        <v>-0.158211</v>
      </c>
    </row>
    <row r="90">
      <c r="A90" t="n">
        <v>4.35</v>
      </c>
      <c r="B90" t="n">
        <v>0.6345499999999999</v>
      </c>
      <c r="C90" t="n">
        <v>-0.173376</v>
      </c>
      <c r="D90" t="n">
        <v>0.157047</v>
      </c>
      <c r="E90" t="n">
        <v>-0.172357</v>
      </c>
      <c r="F90" t="n">
        <v>0.827485</v>
      </c>
      <c r="G90" t="n">
        <v>-0.157297</v>
      </c>
    </row>
    <row r="91">
      <c r="A91" t="n">
        <v>4.4</v>
      </c>
      <c r="B91" t="n">
        <v>0.635172</v>
      </c>
      <c r="C91" t="n">
        <v>-0.17322</v>
      </c>
      <c r="D91" t="n">
        <v>0.157823</v>
      </c>
      <c r="E91" t="n">
        <v>-0.163147</v>
      </c>
      <c r="F91" t="n">
        <v>0.826691</v>
      </c>
      <c r="G91" t="n">
        <v>-0.157245</v>
      </c>
    </row>
    <row r="92">
      <c r="A92" t="n">
        <v>4.45</v>
      </c>
      <c r="B92" t="n">
        <v>0.635483</v>
      </c>
      <c r="C92" t="n">
        <v>-0.1731</v>
      </c>
      <c r="D92" t="n">
        <v>0.156788</v>
      </c>
      <c r="E92" t="n">
        <v>-0.198692</v>
      </c>
      <c r="F92" t="n">
        <v>0.826345</v>
      </c>
      <c r="G92" t="n">
        <v>-0.156158</v>
      </c>
    </row>
    <row r="93">
      <c r="A93" t="n">
        <v>4.5</v>
      </c>
      <c r="B93" t="n">
        <v>0.635586</v>
      </c>
      <c r="C93" t="n">
        <v>-0.17291</v>
      </c>
      <c r="D93" t="n">
        <v>0.157806</v>
      </c>
      <c r="E93" t="n">
        <v>-0.168815</v>
      </c>
      <c r="F93" t="n">
        <v>0.826051</v>
      </c>
      <c r="G93" t="n">
        <v>-0.157159</v>
      </c>
    </row>
    <row r="94">
      <c r="A94" t="n">
        <v>4.55</v>
      </c>
      <c r="B94" t="n">
        <v>0.636105</v>
      </c>
      <c r="C94" t="n">
        <v>-0.17291</v>
      </c>
      <c r="D94" t="n">
        <v>0.156823</v>
      </c>
      <c r="E94" t="n">
        <v>-0.179097</v>
      </c>
      <c r="F94" t="n">
        <v>0.825723</v>
      </c>
      <c r="G94" t="n">
        <v>-0.157003</v>
      </c>
    </row>
    <row r="95">
      <c r="A95" t="n">
        <v>4.6</v>
      </c>
      <c r="B95" t="n">
        <v>0.636226</v>
      </c>
      <c r="C95" t="n">
        <v>-0.172806</v>
      </c>
      <c r="D95" t="n">
        <v>0.157375</v>
      </c>
      <c r="E95" t="n">
        <v>-0.163838</v>
      </c>
      <c r="F95" t="n">
        <v>0.825447</v>
      </c>
      <c r="G95" t="n">
        <v>-0.155726</v>
      </c>
    </row>
    <row r="96">
      <c r="A96" t="n">
        <v>4.65</v>
      </c>
      <c r="B96" t="n">
        <v>0.636174</v>
      </c>
      <c r="C96" t="n">
        <v>-0.172996</v>
      </c>
      <c r="D96" t="n">
        <v>0.160014</v>
      </c>
      <c r="E96" t="n">
        <v>-0.18352</v>
      </c>
      <c r="F96" t="n">
        <v>0.825084</v>
      </c>
      <c r="G96" t="n">
        <v>-0.157038</v>
      </c>
    </row>
    <row r="97">
      <c r="A97" t="n">
        <v>4.7</v>
      </c>
      <c r="B97" t="n">
        <v>0.636485</v>
      </c>
      <c r="C97" t="n">
        <v>-0.173134</v>
      </c>
      <c r="D97" t="n">
        <v>0.158513</v>
      </c>
      <c r="E97" t="n">
        <v>-0.157929</v>
      </c>
      <c r="F97" t="n">
        <v>0.82441</v>
      </c>
      <c r="G97" t="n">
        <v>-0.155778</v>
      </c>
    </row>
    <row r="98">
      <c r="A98" t="n">
        <v>4.75</v>
      </c>
      <c r="B98" t="n">
        <v>0.636278</v>
      </c>
      <c r="C98" t="n">
        <v>-0.172944</v>
      </c>
      <c r="D98" t="n">
        <v>0.160773</v>
      </c>
      <c r="E98" t="n">
        <v>-0.18867</v>
      </c>
      <c r="F98" t="n">
        <v>0.823546</v>
      </c>
      <c r="G98" t="n">
        <v>-0.156986</v>
      </c>
    </row>
    <row r="99">
      <c r="A99" t="n">
        <v>4.8</v>
      </c>
      <c r="B99" t="n">
        <v>0.635984</v>
      </c>
      <c r="C99" t="n">
        <v>-0.173134</v>
      </c>
      <c r="D99" t="n">
        <v>0.197688</v>
      </c>
      <c r="E99" t="n">
        <v>-0.159</v>
      </c>
      <c r="F99" t="n">
        <v>0.82384</v>
      </c>
      <c r="G99" t="n">
        <v>-0.155985</v>
      </c>
    </row>
    <row r="100">
      <c r="A100" t="n">
        <v>4.85</v>
      </c>
      <c r="B100" t="n">
        <v>0.636157</v>
      </c>
      <c r="C100" t="n">
        <v>-0.173238</v>
      </c>
      <c r="D100" t="n">
        <v>0.158979</v>
      </c>
      <c r="E100" t="n">
        <v>-0.166638</v>
      </c>
      <c r="F100" t="n">
        <v>0.823477</v>
      </c>
      <c r="G100" t="n">
        <v>-0.156969</v>
      </c>
    </row>
    <row r="101">
      <c r="A101" t="n">
        <v>4.9</v>
      </c>
      <c r="B101" t="n">
        <v>0.635949</v>
      </c>
      <c r="C101" t="n">
        <v>-0.172823</v>
      </c>
      <c r="D101" t="n">
        <v>0.160411</v>
      </c>
      <c r="E101" t="n">
        <v>-0.161748</v>
      </c>
      <c r="F101" t="n">
        <v>0.823097</v>
      </c>
      <c r="G101" t="n">
        <v>-0.155933</v>
      </c>
    </row>
    <row r="102">
      <c r="A102" t="n">
        <v>4.95</v>
      </c>
      <c r="B102" t="n">
        <v>0.635759</v>
      </c>
      <c r="C102" t="n">
        <v>-0.172892</v>
      </c>
      <c r="D102" t="n">
        <v>0.164964</v>
      </c>
      <c r="E102" t="n">
        <v>-0.162422</v>
      </c>
      <c r="F102" t="n">
        <v>0.822631</v>
      </c>
      <c r="G102" t="n">
        <v>-0.156951</v>
      </c>
    </row>
    <row r="103">
      <c r="A103" t="n">
        <v>5</v>
      </c>
      <c r="B103" t="n">
        <v>0.636053</v>
      </c>
      <c r="C103" t="n">
        <v>-0.172927</v>
      </c>
      <c r="D103" t="n">
        <v>0.160428</v>
      </c>
      <c r="E103" t="n">
        <v>-0.158724</v>
      </c>
      <c r="F103" t="n">
        <v>0.822389</v>
      </c>
      <c r="G103" t="n">
        <v>-0.155588</v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6" customWidth="1" min="4" max="4"/>
    <col width="15" customWidth="1" min="5" max="5"/>
    <col width="11" customWidth="1" min="6" max="6"/>
    <col width="11" customWidth="1" min="7" max="7"/>
    <col width="24" customWidth="1" min="8" max="8"/>
    <col width="13" customWidth="1" min="9" max="9"/>
    <col width="13" customWidth="1" min="10" max="10"/>
  </cols>
  <sheetData>
    <row r="1">
      <c r="A1" s="1" t="inlineStr">
        <is>
          <t>Lab 5 — Momentum Conservation · analysis</t>
        </is>
      </c>
    </row>
    <row r="2" ht="42" customHeight="1">
      <c r="A2" s="2" t="inlineStr">
        <is>
          <t>Shaded amber cells are yours to fill — the first and last Raw Data ROW NUMBER of each fit window. Everything else is a live formula; do not overtype it. Choose each window yourself by looking at the position-vs-time graph, and be ready to justify it. Velocities come out signed: keep the sign.</t>
        </is>
      </c>
    </row>
    <row r="3">
      <c r="A3" s="4" t="inlineStr">
        <is>
          <t>KEY</t>
        </is>
      </c>
      <c r="B3" s="5" t="inlineStr">
        <is>
          <t>you enter</t>
        </is>
      </c>
      <c r="C3" s="6" t="inlineStr">
        <is>
          <t>computed</t>
        </is>
      </c>
    </row>
    <row r="5">
      <c r="A5" s="7" t="inlineStr">
        <is>
          <t>The twelve fits — four per trial</t>
        </is>
      </c>
    </row>
    <row r="6" ht="30" customHeight="1">
      <c r="A6" s="3" t="inlineStr">
        <is>
          <t>Trial</t>
        </is>
      </c>
      <c r="B6" s="3" t="inlineStr">
        <is>
          <t>Cart</t>
        </is>
      </c>
      <c r="C6" s="3" t="inlineStr">
        <is>
          <t>Phase</t>
        </is>
      </c>
      <c r="D6" s="3" t="inlineStr">
        <is>
          <t>Raw Data column</t>
        </is>
      </c>
      <c r="E6" s="3" t="inlineStr">
        <is>
          <t>First row</t>
        </is>
      </c>
      <c r="F6" s="3" t="inlineStr">
        <is>
          <t>Last row</t>
        </is>
      </c>
      <c r="G6" s="3" t="inlineStr">
        <is>
          <t>n points</t>
        </is>
      </c>
      <c r="H6" s="3" t="inlineStr">
        <is>
          <t>Velocity (m/s)</t>
        </is>
      </c>
    </row>
    <row r="7">
      <c r="A7" t="inlineStr">
        <is>
          <t>Trial 1</t>
        </is>
      </c>
      <c r="B7" t="inlineStr">
        <is>
          <t>Cart A</t>
        </is>
      </c>
      <c r="C7" t="inlineStr">
        <is>
          <t>before</t>
        </is>
      </c>
      <c r="D7" t="inlineStr">
        <is>
          <t>B</t>
        </is>
      </c>
      <c r="E7" s="8" t="n"/>
      <c r="F7" s="8" t="n"/>
      <c r="G7" s="6">
        <f>IF(OR(E7="",F7=""),"",F7-E7+1)</f>
        <v/>
      </c>
      <c r="H7" s="9">
        <f>IF(G7="","",SLOPE(OFFSET('Raw Data'!$A$1,E7-1,1,G7,1),OFFSET('Raw Data'!$A$1,E7-1,0,G7,1)))</f>
        <v/>
      </c>
    </row>
    <row r="8">
      <c r="A8" t="inlineStr">
        <is>
          <t>Trial 1</t>
        </is>
      </c>
      <c r="B8" t="inlineStr">
        <is>
          <t>Cart A</t>
        </is>
      </c>
      <c r="C8" t="inlineStr">
        <is>
          <t>after</t>
        </is>
      </c>
      <c r="D8" t="inlineStr">
        <is>
          <t>B</t>
        </is>
      </c>
      <c r="E8" s="8" t="n"/>
      <c r="F8" s="8" t="n"/>
      <c r="G8" s="6">
        <f>IF(OR(E8="",F8=""),"",F8-E8+1)</f>
        <v/>
      </c>
      <c r="H8" s="9">
        <f>IF(G8="","",SLOPE(OFFSET('Raw Data'!$A$1,E8-1,1,G8,1),OFFSET('Raw Data'!$A$1,E8-1,0,G8,1)))</f>
        <v/>
      </c>
    </row>
    <row r="9">
      <c r="A9" t="inlineStr">
        <is>
          <t>Trial 1</t>
        </is>
      </c>
      <c r="B9" t="inlineStr">
        <is>
          <t>Cart B</t>
        </is>
      </c>
      <c r="C9" t="inlineStr">
        <is>
          <t>before</t>
        </is>
      </c>
      <c r="D9" t="inlineStr">
        <is>
          <t>C</t>
        </is>
      </c>
      <c r="E9" s="8" t="n"/>
      <c r="F9" s="8" t="n"/>
      <c r="G9" s="6">
        <f>IF(OR(E9="",F9=""),"",F9-E9+1)</f>
        <v/>
      </c>
      <c r="H9" s="9">
        <f>IF(G9="","",SLOPE(OFFSET('Raw Data'!$A$1,E9-1,2,G9,1),OFFSET('Raw Data'!$A$1,E9-1,0,G9,1)))</f>
        <v/>
      </c>
    </row>
    <row r="10">
      <c r="A10" t="inlineStr">
        <is>
          <t>Trial 1</t>
        </is>
      </c>
      <c r="B10" t="inlineStr">
        <is>
          <t>Cart B</t>
        </is>
      </c>
      <c r="C10" t="inlineStr">
        <is>
          <t>after</t>
        </is>
      </c>
      <c r="D10" t="inlineStr">
        <is>
          <t>C</t>
        </is>
      </c>
      <c r="E10" s="8" t="n"/>
      <c r="F10" s="8" t="n"/>
      <c r="G10" s="6">
        <f>IF(OR(E10="",F10=""),"",F10-E10+1)</f>
        <v/>
      </c>
      <c r="H10" s="9">
        <f>IF(G10="","",SLOPE(OFFSET('Raw Data'!$A$1,E10-1,2,G10,1),OFFSET('Raw Data'!$A$1,E10-1,0,G10,1)))</f>
        <v/>
      </c>
    </row>
    <row r="11">
      <c r="A11" t="inlineStr">
        <is>
          <t>Trial 2</t>
        </is>
      </c>
      <c r="B11" t="inlineStr">
        <is>
          <t>Cart A</t>
        </is>
      </c>
      <c r="C11" t="inlineStr">
        <is>
          <t>before</t>
        </is>
      </c>
      <c r="D11" t="inlineStr">
        <is>
          <t>D</t>
        </is>
      </c>
      <c r="E11" s="8" t="n"/>
      <c r="F11" s="8" t="n"/>
      <c r="G11" s="6">
        <f>IF(OR(E11="",F11=""),"",F11-E11+1)</f>
        <v/>
      </c>
      <c r="H11" s="9">
        <f>IF(G11="","",SLOPE(OFFSET('Raw Data'!$A$1,E11-1,3,G11,1),OFFSET('Raw Data'!$A$1,E11-1,0,G11,1)))</f>
        <v/>
      </c>
    </row>
    <row r="12">
      <c r="A12" t="inlineStr">
        <is>
          <t>Trial 2</t>
        </is>
      </c>
      <c r="B12" t="inlineStr">
        <is>
          <t>Cart A</t>
        </is>
      </c>
      <c r="C12" t="inlineStr">
        <is>
          <t>after</t>
        </is>
      </c>
      <c r="D12" t="inlineStr">
        <is>
          <t>D</t>
        </is>
      </c>
      <c r="E12" s="8" t="n"/>
      <c r="F12" s="8" t="n"/>
      <c r="G12" s="6">
        <f>IF(OR(E12="",F12=""),"",F12-E12+1)</f>
        <v/>
      </c>
      <c r="H12" s="9">
        <f>IF(G12="","",SLOPE(OFFSET('Raw Data'!$A$1,E12-1,3,G12,1),OFFSET('Raw Data'!$A$1,E12-1,0,G12,1)))</f>
        <v/>
      </c>
    </row>
    <row r="13">
      <c r="A13" t="inlineStr">
        <is>
          <t>Trial 2</t>
        </is>
      </c>
      <c r="B13" t="inlineStr">
        <is>
          <t>Cart B</t>
        </is>
      </c>
      <c r="C13" t="inlineStr">
        <is>
          <t>before</t>
        </is>
      </c>
      <c r="D13" t="inlineStr">
        <is>
          <t>E</t>
        </is>
      </c>
      <c r="E13" s="8" t="n"/>
      <c r="F13" s="8" t="n"/>
      <c r="G13" s="6">
        <f>IF(OR(E13="",F13=""),"",F13-E13+1)</f>
        <v/>
      </c>
      <c r="H13" s="9">
        <f>IF(G13="","",SLOPE(OFFSET('Raw Data'!$A$1,E13-1,4,G13,1),OFFSET('Raw Data'!$A$1,E13-1,0,G13,1)))</f>
        <v/>
      </c>
    </row>
    <row r="14">
      <c r="A14" t="inlineStr">
        <is>
          <t>Trial 2</t>
        </is>
      </c>
      <c r="B14" t="inlineStr">
        <is>
          <t>Cart B</t>
        </is>
      </c>
      <c r="C14" t="inlineStr">
        <is>
          <t>after</t>
        </is>
      </c>
      <c r="D14" t="inlineStr">
        <is>
          <t>E</t>
        </is>
      </c>
      <c r="E14" s="8" t="n"/>
      <c r="F14" s="8" t="n"/>
      <c r="G14" s="6">
        <f>IF(OR(E14="",F14=""),"",F14-E14+1)</f>
        <v/>
      </c>
      <c r="H14" s="9">
        <f>IF(G14="","",SLOPE(OFFSET('Raw Data'!$A$1,E14-1,4,G14,1),OFFSET('Raw Data'!$A$1,E14-1,0,G14,1)))</f>
        <v/>
      </c>
    </row>
    <row r="15">
      <c r="A15" t="inlineStr">
        <is>
          <t>Trial 3</t>
        </is>
      </c>
      <c r="B15" t="inlineStr">
        <is>
          <t>Cart A</t>
        </is>
      </c>
      <c r="C15" t="inlineStr">
        <is>
          <t>before</t>
        </is>
      </c>
      <c r="D15" t="inlineStr">
        <is>
          <t>F</t>
        </is>
      </c>
      <c r="E15" s="8" t="n"/>
      <c r="F15" s="8" t="n"/>
      <c r="G15" s="6">
        <f>IF(OR(E15="",F15=""),"",F15-E15+1)</f>
        <v/>
      </c>
      <c r="H15" s="9">
        <f>IF(G15="","",SLOPE(OFFSET('Raw Data'!$A$1,E15-1,5,G15,1),OFFSET('Raw Data'!$A$1,E15-1,0,G15,1)))</f>
        <v/>
      </c>
    </row>
    <row r="16">
      <c r="A16" t="inlineStr">
        <is>
          <t>Trial 3</t>
        </is>
      </c>
      <c r="B16" t="inlineStr">
        <is>
          <t>Cart A</t>
        </is>
      </c>
      <c r="C16" t="inlineStr">
        <is>
          <t>after</t>
        </is>
      </c>
      <c r="D16" t="inlineStr">
        <is>
          <t>F</t>
        </is>
      </c>
      <c r="E16" s="8" t="n"/>
      <c r="F16" s="8" t="n"/>
      <c r="G16" s="6">
        <f>IF(OR(E16="",F16=""),"",F16-E16+1)</f>
        <v/>
      </c>
      <c r="H16" s="9">
        <f>IF(G16="","",SLOPE(OFFSET('Raw Data'!$A$1,E16-1,5,G16,1),OFFSET('Raw Data'!$A$1,E16-1,0,G16,1)))</f>
        <v/>
      </c>
    </row>
    <row r="17">
      <c r="A17" t="inlineStr">
        <is>
          <t>Trial 3</t>
        </is>
      </c>
      <c r="B17" t="inlineStr">
        <is>
          <t>Cart B</t>
        </is>
      </c>
      <c r="C17" t="inlineStr">
        <is>
          <t>before</t>
        </is>
      </c>
      <c r="D17" t="inlineStr">
        <is>
          <t>G</t>
        </is>
      </c>
      <c r="E17" s="8" t="n"/>
      <c r="F17" s="8" t="n"/>
      <c r="G17" s="6">
        <f>IF(OR(E17="",F17=""),"",F17-E17+1)</f>
        <v/>
      </c>
      <c r="H17" s="9">
        <f>IF(G17="","",SLOPE(OFFSET('Raw Data'!$A$1,E17-1,6,G17,1),OFFSET('Raw Data'!$A$1,E17-1,0,G17,1)))</f>
        <v/>
      </c>
    </row>
    <row r="18">
      <c r="A18" t="inlineStr">
        <is>
          <t>Trial 3</t>
        </is>
      </c>
      <c r="B18" t="inlineStr">
        <is>
          <t>Cart B</t>
        </is>
      </c>
      <c r="C18" t="inlineStr">
        <is>
          <t>after</t>
        </is>
      </c>
      <c r="D18" t="inlineStr">
        <is>
          <t>G</t>
        </is>
      </c>
      <c r="E18" s="8" t="n"/>
      <c r="F18" s="8" t="n"/>
      <c r="G18" s="6">
        <f>IF(OR(E18="",F18=""),"",F18-E18+1)</f>
        <v/>
      </c>
      <c r="H18" s="9">
        <f>IF(G18="","",SLOPE(OFFSET('Raw Data'!$A$1,E18-1,6,G18,1),OFFSET('Raw Data'!$A$1,E18-1,0,G18,1)))</f>
        <v/>
      </c>
    </row>
    <row r="20">
      <c r="A20" s="7" t="inlineStr">
        <is>
          <t>The two totals, and the gap between them</t>
        </is>
      </c>
    </row>
    <row r="21" ht="34" customHeight="1">
      <c r="A21" s="3" t="inlineStr">
        <is>
          <t>Trial</t>
        </is>
      </c>
      <c r="B21" s="3" t="inlineStr">
        <is>
          <t>m_A used (kg)</t>
        </is>
      </c>
      <c r="C21" s="3" t="inlineStr">
        <is>
          <t>m_B (kg)</t>
        </is>
      </c>
      <c r="D21" s="3" t="inlineStr">
        <is>
          <t>Σp before (kg·m/s)</t>
        </is>
      </c>
      <c r="E21" s="3" t="inlineStr">
        <is>
          <t>Σp after (kg·m/s)</t>
        </is>
      </c>
      <c r="F21" s="3" t="inlineStr">
        <is>
          <t>Δp (kg·m/s)</t>
        </is>
      </c>
      <c r="G21" s="3" t="inlineStr">
        <is>
          <t>% difference</t>
        </is>
      </c>
      <c r="H21" s="3" t="inlineStr">
        <is>
          <t>Largest single-cart |p|</t>
        </is>
      </c>
      <c r="I21" s="3" t="inlineStr">
        <is>
          <t>KE before (J)</t>
        </is>
      </c>
      <c r="J21" s="3" t="inlineStr">
        <is>
          <t>KE after (J)</t>
        </is>
      </c>
    </row>
    <row r="22">
      <c r="A22" t="inlineStr">
        <is>
          <t>Trial 1 — Pt1, one cart at rest</t>
        </is>
      </c>
      <c r="B22" s="6" t="n">
        <v>0.5119</v>
      </c>
      <c r="C22" s="6" t="n">
        <v>0.5139</v>
      </c>
      <c r="D22" s="9">
        <f>IF(OR(H7="",H9="",H8="",H10=""),"",$B22*H7+$C22*H9)</f>
        <v/>
      </c>
      <c r="E22" s="9">
        <f>IF(OR(H7="",H9="",H8="",H10=""),"",$B22*H8+$C22*H10)</f>
        <v/>
      </c>
      <c r="F22" s="9">
        <f>IF(OR(D22="",E22=""),"",E22-D22)</f>
        <v/>
      </c>
      <c r="G22" s="6">
        <f>IF(OR(D22="",E22="",H22=""),"",IF((ABS(D22)+ABS(E22))/2&lt;0.3*H22,"not meaningful — see Part III",100*F22/((ABS(D22)+ABS(E22))/2)))</f>
        <v/>
      </c>
      <c r="H22" s="9">
        <f>IF(OR(H7="",H9="",H8="",H10=""),"",MAX(ABS($B22*H7),ABS($C22*H9),ABS($B22*H8),ABS($C22*H10)))</f>
        <v/>
      </c>
      <c r="I22" s="10">
        <f>IF(OR(H7="",H9="",H8="",H10=""),"",0.5*$B22*H7^2+0.5*$C22*H9^2)</f>
        <v/>
      </c>
      <c r="J22" s="10">
        <f>IF(OR(H7="",H9="",H8="",H10=""),"",0.5*$B22*H8^2+0.5*$C22*H10^2)</f>
        <v/>
      </c>
    </row>
    <row r="23">
      <c r="A23" t="inlineStr">
        <is>
          <t>Trial 2 — Pt2, similar speeds</t>
        </is>
      </c>
      <c r="B23" s="6" t="n">
        <v>0.5119</v>
      </c>
      <c r="C23" s="6" t="n">
        <v>0.5139</v>
      </c>
      <c r="D23" s="9">
        <f>IF(OR(H11="",H13="",H12="",H14=""),"",$B23*H11+$C23*H13)</f>
        <v/>
      </c>
      <c r="E23" s="9">
        <f>IF(OR(H11="",H13="",H12="",H14=""),"",$B23*H12+$C23*H14)</f>
        <v/>
      </c>
      <c r="F23" s="9">
        <f>IF(OR(D23="",E23=""),"",E23-D23)</f>
        <v/>
      </c>
      <c r="G23" s="6">
        <f>IF(OR(D23="",E23="",H23=""),"",IF((ABS(D23)+ABS(E23))/2&lt;0.3*H23,"not meaningful — see Part III",100*F23/((ABS(D23)+ABS(E23))/2)))</f>
        <v/>
      </c>
      <c r="H23" s="9">
        <f>IF(OR(H11="",H13="",H12="",H14=""),"",MAX(ABS($B23*H11),ABS($C23*H13),ABS($B23*H12),ABS($C23*H14)))</f>
        <v/>
      </c>
      <c r="I23" s="10">
        <f>IF(OR(H11="",H13="",H12="",H14=""),"",0.5*$B23*H11^2+0.5*$C23*H13^2)</f>
        <v/>
      </c>
      <c r="J23" s="10">
        <f>IF(OR(H11="",H13="",H12="",H14=""),"",0.5*$B23*H12^2+0.5*$C23*H14^2)</f>
        <v/>
      </c>
    </row>
    <row r="24">
      <c r="A24" t="inlineStr">
        <is>
          <t>Trial 3 — Pt3, cart A loaded</t>
        </is>
      </c>
      <c r="B24" s="6" t="n">
        <v>1.0438</v>
      </c>
      <c r="C24" s="6" t="n">
        <v>0.5139</v>
      </c>
      <c r="D24" s="9">
        <f>IF(OR(H15="",H17="",H16="",H18=""),"",$B24*H15+$C24*H17)</f>
        <v/>
      </c>
      <c r="E24" s="9">
        <f>IF(OR(H15="",H17="",H16="",H18=""),"",$B24*H16+$C24*H18)</f>
        <v/>
      </c>
      <c r="F24" s="9">
        <f>IF(OR(D24="",E24=""),"",E24-D24)</f>
        <v/>
      </c>
      <c r="G24" s="6">
        <f>IF(OR(D24="",E24="",H24=""),"",IF((ABS(D24)+ABS(E24))/2&lt;0.3*H24,"not meaningful — see Part III",100*F24/((ABS(D24)+ABS(E24))/2)))</f>
        <v/>
      </c>
      <c r="H24" s="9">
        <f>IF(OR(H15="",H17="",H16="",H18=""),"",MAX(ABS($B24*H15),ABS($C24*H17),ABS($B24*H16),ABS($C24*H18)))</f>
        <v/>
      </c>
      <c r="I24" s="10">
        <f>IF(OR(H15="",H17="",H16="",H18=""),"",0.5*$B24*H15^2+0.5*$C24*H17^2)</f>
        <v/>
      </c>
      <c r="J24" s="10">
        <f>IF(OR(H15="",H17="",H16="",H18=""),"",0.5*$B24*H16^2+0.5*$C24*H18^2)</f>
        <v/>
      </c>
    </row>
    <row r="26" ht="46" customHeight="1">
      <c r="A26" s="2" t="inlineStr">
        <is>
          <t>Trial 2 note: both totals are near zero, so the % difference divides by a near-zero denominator and returns a large, meaningless number. The formula above detects this and says so rather than printing it. Report Δp in kg·m/s for Trial 2 and compare it against column H — the largest single-cart momentum — and explain the substitution in your Discussion.</t>
        </is>
      </c>
    </row>
    <row r="28" ht="32" customHeight="1">
      <c r="A28" s="2" t="inlineStr">
        <is>
          <t>Kinetic energy is shown for the Additional Question on energy. It is NOT part of the required analysis — momentum is. Note that every trial loses kinetic energy while conserving momentum: that contrast is the point.</t>
        </is>
      </c>
    </row>
  </sheetData>
  <mergeCells count="3">
    <mergeCell ref="A28:J28"/>
    <mergeCell ref="A2:H2"/>
    <mergeCell ref="A26:J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6" customWidth="1" min="4" max="4"/>
    <col width="15" customWidth="1" min="5" max="5"/>
    <col width="11" customWidth="1" min="6" max="6"/>
    <col width="11" customWidth="1" min="7" max="7"/>
    <col width="24" customWidth="1" min="8" max="8"/>
    <col width="13" customWidth="1" min="9" max="9"/>
    <col width="13" customWidth="1" min="10" max="10"/>
  </cols>
  <sheetData>
    <row r="1">
      <c r="A1" s="1" t="inlineStr">
        <is>
          <t>Lab 5 — Momentum Conservation · analysis</t>
        </is>
      </c>
    </row>
    <row r="2" ht="42" customHeight="1">
      <c r="A2" s="2" t="inlineStr">
        <is>
          <t>Shaded amber cells are yours to fill. Everything else is a live formula; do not overtype it. This sheet is filled with all three trials worked through so you can see the shape of a finished analysis — your own fit windows may differ a little, and that is expected.</t>
        </is>
      </c>
    </row>
    <row r="3">
      <c r="A3" s="4" t="inlineStr">
        <is>
          <t>KEY</t>
        </is>
      </c>
      <c r="B3" s="5" t="inlineStr">
        <is>
          <t>you enter</t>
        </is>
      </c>
      <c r="C3" s="6" t="inlineStr">
        <is>
          <t>computed</t>
        </is>
      </c>
    </row>
    <row r="5">
      <c r="A5" s="7" t="inlineStr">
        <is>
          <t>The twelve fits — four per trial</t>
        </is>
      </c>
    </row>
    <row r="6" ht="30" customHeight="1">
      <c r="A6" s="3" t="inlineStr">
        <is>
          <t>Trial</t>
        </is>
      </c>
      <c r="B6" s="3" t="inlineStr">
        <is>
          <t>Cart</t>
        </is>
      </c>
      <c r="C6" s="3" t="inlineStr">
        <is>
          <t>Phase</t>
        </is>
      </c>
      <c r="D6" s="3" t="inlineStr">
        <is>
          <t>Raw Data column</t>
        </is>
      </c>
      <c r="E6" s="3" t="inlineStr">
        <is>
          <t>First row</t>
        </is>
      </c>
      <c r="F6" s="3" t="inlineStr">
        <is>
          <t>Last row</t>
        </is>
      </c>
      <c r="G6" s="3" t="inlineStr">
        <is>
          <t>n points</t>
        </is>
      </c>
      <c r="H6" s="3" t="inlineStr">
        <is>
          <t>Velocity (m/s)</t>
        </is>
      </c>
    </row>
    <row r="7">
      <c r="A7" t="inlineStr">
        <is>
          <t>Trial 1</t>
        </is>
      </c>
      <c r="B7" t="inlineStr">
        <is>
          <t>Cart A</t>
        </is>
      </c>
      <c r="C7" t="inlineStr">
        <is>
          <t>before</t>
        </is>
      </c>
      <c r="D7" t="inlineStr">
        <is>
          <t>B</t>
        </is>
      </c>
      <c r="E7" s="8" t="n">
        <v>16</v>
      </c>
      <c r="F7" s="8" t="n">
        <v>30</v>
      </c>
      <c r="G7" s="6">
        <f>IF(OR(E7="",F7=""),"",F7-E7+1)</f>
        <v/>
      </c>
      <c r="H7" s="9">
        <f>IF(G7="","",SLOPE(OFFSET('Raw Data'!$A$1,E7-1,1,G7,1),OFFSET('Raw Data'!$A$1,E7-1,0,G7,1)))</f>
        <v/>
      </c>
    </row>
    <row r="8">
      <c r="A8" t="inlineStr">
        <is>
          <t>Trial 1</t>
        </is>
      </c>
      <c r="B8" t="inlineStr">
        <is>
          <t>Cart A</t>
        </is>
      </c>
      <c r="C8" t="inlineStr">
        <is>
          <t>after</t>
        </is>
      </c>
      <c r="D8" t="inlineStr">
        <is>
          <t>B</t>
        </is>
      </c>
      <c r="E8" s="8" t="n">
        <v>35</v>
      </c>
      <c r="F8" s="8" t="n">
        <v>55</v>
      </c>
      <c r="G8" s="6">
        <f>IF(OR(E8="",F8=""),"",F8-E8+1)</f>
        <v/>
      </c>
      <c r="H8" s="9">
        <f>IF(G8="","",SLOPE(OFFSET('Raw Data'!$A$1,E8-1,1,G8,1),OFFSET('Raw Data'!$A$1,E8-1,0,G8,1)))</f>
        <v/>
      </c>
    </row>
    <row r="9">
      <c r="A9" t="inlineStr">
        <is>
          <t>Trial 1</t>
        </is>
      </c>
      <c r="B9" t="inlineStr">
        <is>
          <t>Cart B</t>
        </is>
      </c>
      <c r="C9" t="inlineStr">
        <is>
          <t>before</t>
        </is>
      </c>
      <c r="D9" t="inlineStr">
        <is>
          <t>C</t>
        </is>
      </c>
      <c r="E9" s="8" t="n">
        <v>5</v>
      </c>
      <c r="F9" s="8" t="n">
        <v>31</v>
      </c>
      <c r="G9" s="6">
        <f>IF(OR(E9="",F9=""),"",F9-E9+1)</f>
        <v/>
      </c>
      <c r="H9" s="9">
        <f>IF(G9="","",SLOPE(OFFSET('Raw Data'!$A$1,E9-1,2,G9,1),OFFSET('Raw Data'!$A$1,E9-1,0,G9,1)))</f>
        <v/>
      </c>
    </row>
    <row r="10">
      <c r="A10" t="inlineStr">
        <is>
          <t>Trial 1</t>
        </is>
      </c>
      <c r="B10" t="inlineStr">
        <is>
          <t>Cart B</t>
        </is>
      </c>
      <c r="C10" t="inlineStr">
        <is>
          <t>after</t>
        </is>
      </c>
      <c r="D10" t="inlineStr">
        <is>
          <t>C</t>
        </is>
      </c>
      <c r="E10" s="8" t="n">
        <v>35</v>
      </c>
      <c r="F10" s="8" t="n">
        <v>46</v>
      </c>
      <c r="G10" s="6">
        <f>IF(OR(E10="",F10=""),"",F10-E10+1)</f>
        <v/>
      </c>
      <c r="H10" s="9">
        <f>IF(G10="","",SLOPE(OFFSET('Raw Data'!$A$1,E10-1,2,G10,1),OFFSET('Raw Data'!$A$1,E10-1,0,G10,1)))</f>
        <v/>
      </c>
    </row>
    <row r="11">
      <c r="A11" t="inlineStr">
        <is>
          <t>Trial 2</t>
        </is>
      </c>
      <c r="B11" t="inlineStr">
        <is>
          <t>Cart A</t>
        </is>
      </c>
      <c r="C11" t="inlineStr">
        <is>
          <t>before</t>
        </is>
      </c>
      <c r="D11" t="inlineStr">
        <is>
          <t>D</t>
        </is>
      </c>
      <c r="E11" s="8" t="n">
        <v>27</v>
      </c>
      <c r="F11" s="8" t="n">
        <v>48</v>
      </c>
      <c r="G11" s="6">
        <f>IF(OR(E11="",F11=""),"",F11-E11+1)</f>
        <v/>
      </c>
      <c r="H11" s="9">
        <f>IF(G11="","",SLOPE(OFFSET('Raw Data'!$A$1,E11-1,3,G11,1),OFFSET('Raw Data'!$A$1,E11-1,0,G11,1)))</f>
        <v/>
      </c>
    </row>
    <row r="12">
      <c r="A12" t="inlineStr">
        <is>
          <t>Trial 2</t>
        </is>
      </c>
      <c r="B12" t="inlineStr">
        <is>
          <t>Cart A</t>
        </is>
      </c>
      <c r="C12" t="inlineStr">
        <is>
          <t>after</t>
        </is>
      </c>
      <c r="D12" t="inlineStr">
        <is>
          <t>D</t>
        </is>
      </c>
      <c r="E12" s="8" t="n">
        <v>53</v>
      </c>
      <c r="F12" s="8" t="n">
        <v>73</v>
      </c>
      <c r="G12" s="6">
        <f>IF(OR(E12="",F12=""),"",F12-E12+1)</f>
        <v/>
      </c>
      <c r="H12" s="9">
        <f>IF(G12="","",SLOPE(OFFSET('Raw Data'!$A$1,E12-1,3,G12,1),OFFSET('Raw Data'!$A$1,E12-1,0,G12,1)))</f>
        <v/>
      </c>
    </row>
    <row r="13">
      <c r="A13" t="inlineStr">
        <is>
          <t>Trial 2</t>
        </is>
      </c>
      <c r="B13" t="inlineStr">
        <is>
          <t>Cart B</t>
        </is>
      </c>
      <c r="C13" t="inlineStr">
        <is>
          <t>before</t>
        </is>
      </c>
      <c r="D13" t="inlineStr">
        <is>
          <t>E</t>
        </is>
      </c>
      <c r="E13" s="8" t="n">
        <v>27</v>
      </c>
      <c r="F13" s="8" t="n">
        <v>48</v>
      </c>
      <c r="G13" s="6">
        <f>IF(OR(E13="",F13=""),"",F13-E13+1)</f>
        <v/>
      </c>
      <c r="H13" s="9">
        <f>IF(G13="","",SLOPE(OFFSET('Raw Data'!$A$1,E13-1,4,G13,1),OFFSET('Raw Data'!$A$1,E13-1,0,G13,1)))</f>
        <v/>
      </c>
    </row>
    <row r="14">
      <c r="A14" t="inlineStr">
        <is>
          <t>Trial 2</t>
        </is>
      </c>
      <c r="B14" t="inlineStr">
        <is>
          <t>Cart B</t>
        </is>
      </c>
      <c r="C14" t="inlineStr">
        <is>
          <t>after</t>
        </is>
      </c>
      <c r="D14" t="inlineStr">
        <is>
          <t>E</t>
        </is>
      </c>
      <c r="E14" s="8" t="n">
        <v>53</v>
      </c>
      <c r="F14" s="8" t="n">
        <v>72</v>
      </c>
      <c r="G14" s="6">
        <f>IF(OR(E14="",F14=""),"",F14-E14+1)</f>
        <v/>
      </c>
      <c r="H14" s="9">
        <f>IF(G14="","",SLOPE(OFFSET('Raw Data'!$A$1,E14-1,4,G14,1),OFFSET('Raw Data'!$A$1,E14-1,0,G14,1)))</f>
        <v/>
      </c>
    </row>
    <row r="15">
      <c r="A15" t="inlineStr">
        <is>
          <t>Trial 3</t>
        </is>
      </c>
      <c r="B15" t="inlineStr">
        <is>
          <t>Cart A</t>
        </is>
      </c>
      <c r="C15" t="inlineStr">
        <is>
          <t>before</t>
        </is>
      </c>
      <c r="D15" t="inlineStr">
        <is>
          <t>F</t>
        </is>
      </c>
      <c r="E15" s="8" t="n">
        <v>21</v>
      </c>
      <c r="F15" s="8" t="n">
        <v>37</v>
      </c>
      <c r="G15" s="6">
        <f>IF(OR(E15="",F15=""),"",F15-E15+1)</f>
        <v/>
      </c>
      <c r="H15" s="9">
        <f>IF(G15="","",SLOPE(OFFSET('Raw Data'!$A$1,E15-1,5,G15,1),OFFSET('Raw Data'!$A$1,E15-1,0,G15,1)))</f>
        <v/>
      </c>
    </row>
    <row r="16">
      <c r="A16" t="inlineStr">
        <is>
          <t>Trial 3</t>
        </is>
      </c>
      <c r="B16" t="inlineStr">
        <is>
          <t>Cart A</t>
        </is>
      </c>
      <c r="C16" t="inlineStr">
        <is>
          <t>after</t>
        </is>
      </c>
      <c r="D16" t="inlineStr">
        <is>
          <t>F</t>
        </is>
      </c>
      <c r="E16" s="8" t="n">
        <v>42</v>
      </c>
      <c r="F16" s="8" t="n">
        <v>69</v>
      </c>
      <c r="G16" s="6">
        <f>IF(OR(E16="",F16=""),"",F16-E16+1)</f>
        <v/>
      </c>
      <c r="H16" s="9">
        <f>IF(G16="","",SLOPE(OFFSET('Raw Data'!$A$1,E16-1,5,G16,1),OFFSET('Raw Data'!$A$1,E16-1,0,G16,1)))</f>
        <v/>
      </c>
    </row>
    <row r="17">
      <c r="A17" t="inlineStr">
        <is>
          <t>Trial 3</t>
        </is>
      </c>
      <c r="B17" t="inlineStr">
        <is>
          <t>Cart B</t>
        </is>
      </c>
      <c r="C17" t="inlineStr">
        <is>
          <t>before</t>
        </is>
      </c>
      <c r="D17" t="inlineStr">
        <is>
          <t>G</t>
        </is>
      </c>
      <c r="E17" s="8" t="n">
        <v>5</v>
      </c>
      <c r="F17" s="8" t="n">
        <v>37</v>
      </c>
      <c r="G17" s="6">
        <f>IF(OR(E17="",F17=""),"",F17-E17+1)</f>
        <v/>
      </c>
      <c r="H17" s="9">
        <f>IF(G17="","",SLOPE(OFFSET('Raw Data'!$A$1,E17-1,6,G17,1),OFFSET('Raw Data'!$A$1,E17-1,0,G17,1)))</f>
        <v/>
      </c>
    </row>
    <row r="18">
      <c r="A18" t="inlineStr">
        <is>
          <t>Trial 3</t>
        </is>
      </c>
      <c r="B18" t="inlineStr">
        <is>
          <t>Cart B</t>
        </is>
      </c>
      <c r="C18" t="inlineStr">
        <is>
          <t>after</t>
        </is>
      </c>
      <c r="D18" t="inlineStr">
        <is>
          <t>G</t>
        </is>
      </c>
      <c r="E18" s="8" t="n">
        <v>42</v>
      </c>
      <c r="F18" s="8" t="n">
        <v>53</v>
      </c>
      <c r="G18" s="6">
        <f>IF(OR(E18="",F18=""),"",F18-E18+1)</f>
        <v/>
      </c>
      <c r="H18" s="9">
        <f>IF(G18="","",SLOPE(OFFSET('Raw Data'!$A$1,E18-1,6,G18,1),OFFSET('Raw Data'!$A$1,E18-1,0,G18,1)))</f>
        <v/>
      </c>
    </row>
    <row r="20">
      <c r="A20" s="7" t="inlineStr">
        <is>
          <t>The two totals, and the gap between them</t>
        </is>
      </c>
    </row>
    <row r="21" ht="34" customHeight="1">
      <c r="A21" s="3" t="inlineStr">
        <is>
          <t>Trial</t>
        </is>
      </c>
      <c r="B21" s="3" t="inlineStr">
        <is>
          <t>m_A used (kg)</t>
        </is>
      </c>
      <c r="C21" s="3" t="inlineStr">
        <is>
          <t>m_B (kg)</t>
        </is>
      </c>
      <c r="D21" s="3" t="inlineStr">
        <is>
          <t>Σp before (kg·m/s)</t>
        </is>
      </c>
      <c r="E21" s="3" t="inlineStr">
        <is>
          <t>Σp after (kg·m/s)</t>
        </is>
      </c>
      <c r="F21" s="3" t="inlineStr">
        <is>
          <t>Δp (kg·m/s)</t>
        </is>
      </c>
      <c r="G21" s="3" t="inlineStr">
        <is>
          <t>% difference</t>
        </is>
      </c>
      <c r="H21" s="3" t="inlineStr">
        <is>
          <t>Largest single-cart |p|</t>
        </is>
      </c>
      <c r="I21" s="3" t="inlineStr">
        <is>
          <t>KE before (J)</t>
        </is>
      </c>
      <c r="J21" s="3" t="inlineStr">
        <is>
          <t>KE after (J)</t>
        </is>
      </c>
    </row>
    <row r="22">
      <c r="A22" t="inlineStr">
        <is>
          <t>Trial 1 — Pt1, one cart at rest</t>
        </is>
      </c>
      <c r="B22" s="6" t="n">
        <v>0.5119</v>
      </c>
      <c r="C22" s="6" t="n">
        <v>0.5139</v>
      </c>
      <c r="D22" s="9">
        <f>IF(OR(H7="",H9="",H8="",H10=""),"",$B22*H7+$C22*H9)</f>
        <v/>
      </c>
      <c r="E22" s="9">
        <f>IF(OR(H7="",H9="",H8="",H10=""),"",$B22*H8+$C22*H10)</f>
        <v/>
      </c>
      <c r="F22" s="9">
        <f>IF(OR(D22="",E22=""),"",E22-D22)</f>
        <v/>
      </c>
      <c r="G22" s="6">
        <f>IF(OR(D22="",E22="",H22=""),"",IF((ABS(D22)+ABS(E22))/2&lt;0.3*H22,"not meaningful — see Part III",100*F22/((ABS(D22)+ABS(E22))/2)))</f>
        <v/>
      </c>
      <c r="H22" s="9">
        <f>IF(OR(H7="",H9="",H8="",H10=""),"",MAX(ABS($B22*H7),ABS($C22*H9),ABS($B22*H8),ABS($C22*H10)))</f>
        <v/>
      </c>
      <c r="I22" s="10">
        <f>IF(OR(H7="",H9="",H8="",H10=""),"",0.5*$B22*H7^2+0.5*$C22*H9^2)</f>
        <v/>
      </c>
      <c r="J22" s="10">
        <f>IF(OR(H7="",H9="",H8="",H10=""),"",0.5*$B22*H8^2+0.5*$C22*H10^2)</f>
        <v/>
      </c>
    </row>
    <row r="23">
      <c r="A23" t="inlineStr">
        <is>
          <t>Trial 2 — Pt2, similar speeds</t>
        </is>
      </c>
      <c r="B23" s="6" t="n">
        <v>0.5119</v>
      </c>
      <c r="C23" s="6" t="n">
        <v>0.5139</v>
      </c>
      <c r="D23" s="9">
        <f>IF(OR(H11="",H13="",H12="",H14=""),"",$B23*H11+$C23*H13)</f>
        <v/>
      </c>
      <c r="E23" s="9">
        <f>IF(OR(H11="",H13="",H12="",H14=""),"",$B23*H12+$C23*H14)</f>
        <v/>
      </c>
      <c r="F23" s="9">
        <f>IF(OR(D23="",E23=""),"",E23-D23)</f>
        <v/>
      </c>
      <c r="G23" s="6">
        <f>IF(OR(D23="",E23="",H23=""),"",IF((ABS(D23)+ABS(E23))/2&lt;0.3*H23,"not meaningful — see Part III",100*F23/((ABS(D23)+ABS(E23))/2)))</f>
        <v/>
      </c>
      <c r="H23" s="9">
        <f>IF(OR(H11="",H13="",H12="",H14=""),"",MAX(ABS($B23*H11),ABS($C23*H13),ABS($B23*H12),ABS($C23*H14)))</f>
        <v/>
      </c>
      <c r="I23" s="10">
        <f>IF(OR(H11="",H13="",H12="",H14=""),"",0.5*$B23*H11^2+0.5*$C23*H13^2)</f>
        <v/>
      </c>
      <c r="J23" s="10">
        <f>IF(OR(H11="",H13="",H12="",H14=""),"",0.5*$B23*H12^2+0.5*$C23*H14^2)</f>
        <v/>
      </c>
    </row>
    <row r="24">
      <c r="A24" t="inlineStr">
        <is>
          <t>Trial 3 — Pt3, cart A loaded</t>
        </is>
      </c>
      <c r="B24" s="6" t="n">
        <v>1.0438</v>
      </c>
      <c r="C24" s="6" t="n">
        <v>0.5139</v>
      </c>
      <c r="D24" s="9">
        <f>IF(OR(H15="",H17="",H16="",H18=""),"",$B24*H15+$C24*H17)</f>
        <v/>
      </c>
      <c r="E24" s="9">
        <f>IF(OR(H15="",H17="",H16="",H18=""),"",$B24*H16+$C24*H18)</f>
        <v/>
      </c>
      <c r="F24" s="9">
        <f>IF(OR(D24="",E24=""),"",E24-D24)</f>
        <v/>
      </c>
      <c r="G24" s="6">
        <f>IF(OR(D24="",E24="",H24=""),"",IF((ABS(D24)+ABS(E24))/2&lt;0.3*H24,"not meaningful — see Part III",100*F24/((ABS(D24)+ABS(E24))/2)))</f>
        <v/>
      </c>
      <c r="H24" s="9">
        <f>IF(OR(H15="",H17="",H16="",H18=""),"",MAX(ABS($B24*H15),ABS($C24*H17),ABS($B24*H16),ABS($C24*H18)))</f>
        <v/>
      </c>
      <c r="I24" s="10">
        <f>IF(OR(H15="",H17="",H16="",H18=""),"",0.5*$B24*H15^2+0.5*$C24*H17^2)</f>
        <v/>
      </c>
      <c r="J24" s="10">
        <f>IF(OR(H15="",H17="",H16="",H18=""),"",0.5*$B24*H16^2+0.5*$C24*H18^2)</f>
        <v/>
      </c>
    </row>
    <row r="26" ht="46" customHeight="1">
      <c r="A26" s="2" t="inlineStr">
        <is>
          <t>Trial 2 note: both totals are near zero, so the % difference divides by a near-zero denominator and returns a large, meaningless number. The formula above detects this and says so rather than printing it. Report Δp in kg·m/s for Trial 2 and compare it against column H — the largest single-cart momentum — and explain the substitution in your Discussion.</t>
        </is>
      </c>
    </row>
    <row r="28" ht="32" customHeight="1">
      <c r="A28" s="2" t="inlineStr">
        <is>
          <t>Kinetic energy is shown for the Additional Question on energy. It is NOT part of the required analysis — momentum is. Note that every trial loses kinetic energy while conserving momentum: that contrast is the point.</t>
        </is>
      </c>
    </row>
  </sheetData>
  <mergeCells count="3">
    <mergeCell ref="A28:J28"/>
    <mergeCell ref="A2:H2"/>
    <mergeCell ref="A26:J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2026-10-23T04:00:09Z</dcterms:created>
  <dcterms:modified xmlns:dcterms="http://purl.org/dc/terms/" xmlns:xsi="http://www.w3.org/2001/XMLSchema-instance" xsi:type="dcterms:W3CDTF">2026-10-23T04:00:09Z</dcterms:modified>
</cp:coreProperties>
</file>