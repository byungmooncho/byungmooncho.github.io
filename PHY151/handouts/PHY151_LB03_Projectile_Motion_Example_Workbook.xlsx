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 3 Data" sheetId="1" state="visible" r:id="rId3"/>
    <sheet name="Worked Ex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<sst xmlns="http://schemas.openxmlformats.org/spreadsheetml/2006/main" count="80" uniqueCount="41">
  <si>
    <t xml:space="preserve">PHY 151  ·  Lab 3 — Projectile Motion: Predicting Where the Ball Lands</t>
  </si>
  <si>
    <t xml:space="preserve">Type only in the shaded cells. Everything else calculates itself. Units are metres and seconds throughout.</t>
  </si>
  <si>
    <t xml:space="preserve">Name</t>
  </si>
  <si>
    <t xml:space="preserve">Partner</t>
  </si>
  <si>
    <t xml:space="preserve">Section</t>
  </si>
  <si>
    <t xml:space="preserve">Date</t>
  </si>
  <si>
    <t xml:space="preserve">Accepted g  (m/s²)</t>
  </si>
  <si>
    <t xml:space="preserve">PHY 151 uses 9.81 m/s², the same value as Lab 02. Keep it consistent everywhere in your report.</t>
  </si>
  <si>
    <t xml:space="preserve">KEY</t>
  </si>
  <si>
    <t xml:space="preserve">  shaded = you type here  </t>
  </si>
  <si>
    <t xml:space="preserve">  white = calculated, do not type  </t>
  </si>
  <si>
    <t xml:space="preserve">Part I — Calibration run (one height, five or more trials)</t>
  </si>
  <si>
    <t xml:space="preserve">Launch height  h₀  (m)</t>
  </si>
  <si>
    <t xml:space="preserve">Uncertainty in the height  δh₀  (m)</t>
  </si>
  <si>
    <t xml:space="preserve">Trial</t>
  </si>
  <si>
    <t xml:space="preserve">Landing distance  d  (m)</t>
  </si>
  <si>
    <t xml:space="preserve">N (trials)</t>
  </si>
  <si>
    <t xml:space="preserve">Mean  d̄₀  (m)</t>
  </si>
  <si>
    <t xml:space="preserve">Standard deviation  s  (m)</t>
  </si>
  <si>
    <t xml:space="preserve">Standard error of the mean  δd  (m)</t>
  </si>
  <si>
    <t xml:space="preserve">Launch speed  v₀ = d̄₀·√(g/2h₀)   (m/s)</t>
  </si>
  <si>
    <t xml:space="preserve">Relative uncertainty  δv₀/v₀</t>
  </si>
  <si>
    <t xml:space="preserve">δv₀/v₀ = √[(δd/d̄)² + (½·δh/h)²] — the ½ is there because v₀ depends on h to the power −½. An error in the height costs you half as much as the same relative error in the distance.</t>
  </si>
  <si>
    <t xml:space="preserve">Uncertainty  δv₀  (m/s)</t>
  </si>
  <si>
    <t xml:space="preserve">Parts II and III — every launch height you test</t>
  </si>
  <si>
    <t xml:space="preserve">Theory curve</t>
  </si>
  <si>
    <t xml:space="preserve">Height  h  (m)</t>
  </si>
  <si>
    <t xml:space="preserve">Predicted  d  (m)
= v₀√(2h/g)</t>
  </si>
  <si>
    <t xml:space="preserve">Cross-check  d  (m)
= d̄₀√(h/h₀)</t>
  </si>
  <si>
    <t xml:space="preserve">Measured mean  d  (m)</t>
  </si>
  <si>
    <t xml:space="preserve">SEM  δd  (m)</t>
  </si>
  <si>
    <t xml:space="preserve">In the cup?</t>
  </si>
  <si>
    <t xml:space="preserve">Signed difference (%)</t>
  </si>
  <si>
    <t xml:space="preserve">% difference</t>
  </si>
  <si>
    <t xml:space="preserve">Predicted  d  (m)</t>
  </si>
  <si>
    <t xml:space="preserve">The cross-check column is the same prediction with v₀ substituted back in and g cancelled: d = d̄₀√(h/h₀). It must match the predicted column to the last digit. That it does is the point — this lab tests the √h scaling law, not the value of g.</t>
  </si>
  <si>
    <t xml:space="preserve">Look at the SIGN of column G across the heights, not just the size of column H. A trend with height is a systematic effect and is worth more in your Discussion than a small average.</t>
  </si>
  <si>
    <t xml:space="preserve">Plot this as a smooth dashed line. It is CALCULATED from your v₀, never fitted to your measured points — fitting it would destroy the test.</t>
  </si>
  <si>
    <t xml:space="preserve">PHY 151  ·  Lab 3 — Worked example (a real run, for reference)</t>
  </si>
  <si>
    <t xml:space="preserve">Source: 'Lab 3 Horizontal Launch.xlsx', PHY 151 course archive — a real data set. Use it to see the shape of a finished sheet; do not submit these numbers as your own.</t>
  </si>
  <si>
    <t xml:space="preserve">This calibration pair is real (h₀ = 0.927 m, d̄₀ = 0.475 m) but the archive recorded only the mean, so the trial cells are left empty on purpose — d̄₀ below is typed in rather than averaged. Your own sheet averages your five trials.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</si>
</sst>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.5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D4" s="3" t="s">
        <v>3</v>
      </c>
      <c r="E4" s="4"/>
    </row>
    <row r="5" customFormat="false" ht="15" hidden="false" customHeight="false" outlineLevel="0" collapsed="false">
      <c r="A5" s="3" t="s">
        <v>4</v>
      </c>
      <c r="B5" s="4"/>
      <c r="D5" s="3" t="s">
        <v>5</v>
      </c>
      <c r="E5" s="4"/>
    </row>
    <row r="7" customFormat="false" ht="15" hidden="false" customHeight="false" outlineLevel="0" collapsed="false">
      <c r="A7" s="3" t="s">
        <v>6</v>
      </c>
      <c r="C7" s="5" t="n">
        <v>9.81</v>
      </c>
      <c r="D7" s="6" t="s">
        <v>7</v>
      </c>
    </row>
    <row r="9" customFormat="false" ht="15" hidden="false" customHeight="false" outlineLevel="0" collapsed="false">
      <c r="A9" s="3" t="s">
        <v>8</v>
      </c>
      <c r="B9" s="5" t="s">
        <v>9</v>
      </c>
      <c r="D9" s="7" t="s">
        <v>10</v>
      </c>
    </row>
    <row r="11" customFormat="false" ht="16.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3" t="s">
        <v>12</v>
      </c>
      <c r="C12" s="5"/>
    </row>
    <row r="13" customFormat="false" ht="15" hidden="false" customHeight="false" outlineLevel="0" collapsed="false">
      <c r="A13" s="3" t="s">
        <v>13</v>
      </c>
      <c r="C13" s="5"/>
    </row>
    <row r="15" customFormat="false" ht="15" hidden="false" customHeight="false" outlineLevel="0" collapsed="false">
      <c r="A15" s="8" t="s">
        <v>14</v>
      </c>
      <c r="B15" s="8" t="s">
        <v>15</v>
      </c>
    </row>
    <row r="16" customFormat="false" ht="15" hidden="false" customHeight="false" outlineLevel="0" collapsed="false">
      <c r="A16" s="9" t="n">
        <v>1</v>
      </c>
      <c r="B16" s="5"/>
    </row>
    <row r="17" customFormat="false" ht="15" hidden="false" customHeight="false" outlineLevel="0" collapsed="false">
      <c r="A17" s="9" t="n">
        <v>2</v>
      </c>
      <c r="B17" s="5"/>
    </row>
    <row r="18" customFormat="false" ht="15" hidden="false" customHeight="false" outlineLevel="0" collapsed="false">
      <c r="A18" s="9" t="n">
        <v>3</v>
      </c>
      <c r="B18" s="5"/>
    </row>
    <row r="19" customFormat="false" ht="15" hidden="false" customHeight="false" outlineLevel="0" collapsed="false">
      <c r="A19" s="9" t="n">
        <v>4</v>
      </c>
      <c r="B19" s="5"/>
    </row>
    <row r="20" customFormat="false" ht="15" hidden="false" customHeight="false" outlineLevel="0" collapsed="false">
      <c r="A20" s="9" t="n">
        <v>5</v>
      </c>
      <c r="B20" s="5"/>
    </row>
    <row r="21" customFormat="false" ht="15" hidden="false" customHeight="false" outlineLevel="0" collapsed="false">
      <c r="A21" s="9" t="n">
        <v>6</v>
      </c>
      <c r="B21" s="5"/>
    </row>
    <row r="22" customFormat="false" ht="15" hidden="false" customHeight="false" outlineLevel="0" collapsed="false">
      <c r="A22" s="9" t="n">
        <v>7</v>
      </c>
      <c r="B22" s="5"/>
    </row>
    <row r="24" customFormat="false" ht="15" hidden="false" customHeight="false" outlineLevel="0" collapsed="false">
      <c r="A24" s="3" t="s">
        <v>16</v>
      </c>
      <c r="C24" s="7" t="str">
        <f aca="false">IF(COUNT(B16:B22)=0,"",COUNT(B16:B22))</f>
        <v/>
      </c>
    </row>
    <row r="25" customFormat="false" ht="15" hidden="false" customHeight="false" outlineLevel="0" collapsed="false">
      <c r="A25" s="3" t="s">
        <v>17</v>
      </c>
      <c r="C25" s="7" t="str">
        <f aca="false">IF(COUNT(B16:B22)=0,"",AVERAGE(B16:B22))</f>
        <v/>
      </c>
    </row>
    <row r="26" customFormat="false" ht="15" hidden="false" customHeight="false" outlineLevel="0" collapsed="false">
      <c r="A26" s="3" t="s">
        <v>18</v>
      </c>
      <c r="C26" s="7" t="str">
        <f aca="false">IF(COUNT(B16:B22)&lt;2,"",STDEV(B16:B22))</f>
        <v/>
      </c>
    </row>
    <row r="27" customFormat="false" ht="15" hidden="false" customHeight="false" outlineLevel="0" collapsed="false">
      <c r="A27" s="3" t="s">
        <v>19</v>
      </c>
      <c r="C27" s="7" t="str">
        <f aca="false">IF(OR(C26="",C24=""),"",C26/SQRT(C24))</f>
        <v/>
      </c>
    </row>
    <row r="28" customFormat="false" ht="15" hidden="false" customHeight="false" outlineLevel="0" collapsed="false">
      <c r="A28" s="3"/>
      <c r="C28" s="7"/>
    </row>
    <row r="29" customFormat="false" ht="15" hidden="false" customHeight="false" outlineLevel="0" collapsed="false">
      <c r="A29" s="3" t="s">
        <v>20</v>
      </c>
      <c r="C29" s="7" t="str">
        <f aca="false">IF(OR($C$25="",$C$12="",$C$12=0),"",$C$25*SQRT($C$7/(2*$C$12)))</f>
        <v/>
      </c>
    </row>
    <row r="30" customFormat="false" ht="15" hidden="false" customHeight="false" outlineLevel="0" collapsed="false">
      <c r="A30" s="3" t="s">
        <v>21</v>
      </c>
      <c r="C30" s="7" t="str">
        <f aca="false">IF(OR(C27="",C25="",C25=0,C13="",C12="",C12=0),"",SQRT((C27/C25)^2+(0.5*C13/C12)^2))</f>
        <v/>
      </c>
      <c r="D30" s="6" t="s">
        <v>22</v>
      </c>
    </row>
    <row r="31" customFormat="false" ht="15" hidden="false" customHeight="false" outlineLevel="0" collapsed="false">
      <c r="A31" s="3" t="s">
        <v>23</v>
      </c>
      <c r="C31" s="7" t="str">
        <f aca="false">IF(OR(C29="",C30=""),"",C29*C30)</f>
        <v/>
      </c>
    </row>
    <row r="34" customFormat="false" ht="16.15" hidden="false" customHeight="false" outlineLevel="0" collapsed="false">
      <c r="A34" s="1" t="s">
        <v>24</v>
      </c>
      <c r="J34" s="1" t="s">
        <v>25</v>
      </c>
    </row>
    <row r="35" customFormat="false" ht="33.75" hidden="false" customHeight="true" outlineLevel="0" collapsed="false">
      <c r="A35" s="10" t="s">
        <v>26</v>
      </c>
      <c r="B35" s="10" t="s">
        <v>27</v>
      </c>
      <c r="C35" s="10" t="s">
        <v>28</v>
      </c>
      <c r="D35" s="10" t="s">
        <v>29</v>
      </c>
      <c r="E35" s="10" t="s">
        <v>30</v>
      </c>
      <c r="F35" s="10" t="s">
        <v>31</v>
      </c>
      <c r="G35" s="10" t="s">
        <v>32</v>
      </c>
      <c r="H35" s="10" t="s">
        <v>33</v>
      </c>
      <c r="J35" s="8" t="s">
        <v>26</v>
      </c>
      <c r="K35" s="8" t="s">
        <v>34</v>
      </c>
    </row>
    <row r="36" customFormat="false" ht="15" hidden="false" customHeight="false" outlineLevel="0" collapsed="false">
      <c r="A36" s="5"/>
      <c r="B36" s="7" t="str">
        <f aca="false">IF(OR(A36="",$C$29=""),"",$C$29*SQRT(2*A36/$C$7))</f>
        <v/>
      </c>
      <c r="C36" s="7" t="str">
        <f aca="false">IF(OR(A36="",$C$25="",$C$12="",$C$12=0),"",$C$25*SQRT(A36/$C$12))</f>
        <v/>
      </c>
      <c r="D36" s="5"/>
      <c r="E36" s="5"/>
      <c r="F36" s="5"/>
      <c r="G36" s="7" t="str">
        <f aca="false">IF(OR(B36="",D36="",B36=0),"",(D36-B36)/B36*100)</f>
        <v/>
      </c>
      <c r="H36" s="7" t="str">
        <f aca="false">IF(G36="","",ABS(G36))</f>
        <v/>
      </c>
      <c r="J36" s="7" t="n">
        <v>0</v>
      </c>
      <c r="K36" s="7" t="str">
        <f aca="false">IF($C$29="","",$C$29*SQRT(2*J36/$C$7))</f>
        <v/>
      </c>
    </row>
    <row r="37" customFormat="false" ht="15" hidden="false" customHeight="false" outlineLevel="0" collapsed="false">
      <c r="A37" s="5"/>
      <c r="B37" s="7" t="str">
        <f aca="false">IF(OR(A37="",$C$29=""),"",$C$29*SQRT(2*A37/$C$7))</f>
        <v/>
      </c>
      <c r="C37" s="7" t="str">
        <f aca="false">IF(OR(A37="",$C$25="",$C$12="",$C$12=0),"",$C$25*SQRT(A37/$C$12))</f>
        <v/>
      </c>
      <c r="D37" s="5"/>
      <c r="E37" s="5"/>
      <c r="F37" s="5"/>
      <c r="G37" s="7" t="str">
        <f aca="false">IF(OR(B37="",D37="",B37=0),"",(D37-B37)/B37*100)</f>
        <v/>
      </c>
      <c r="H37" s="7" t="str">
        <f aca="false">IF(G37="","",ABS(G37))</f>
        <v/>
      </c>
      <c r="J37" s="7" t="n">
        <v>0.05</v>
      </c>
      <c r="K37" s="7" t="str">
        <f aca="false">IF($C$29="","",$C$29*SQRT(2*J37/$C$7))</f>
        <v/>
      </c>
    </row>
    <row r="38" customFormat="false" ht="15" hidden="false" customHeight="false" outlineLevel="0" collapsed="false">
      <c r="A38" s="5"/>
      <c r="B38" s="7" t="str">
        <f aca="false">IF(OR(A38="",$C$29=""),"",$C$29*SQRT(2*A38/$C$7))</f>
        <v/>
      </c>
      <c r="C38" s="7" t="str">
        <f aca="false">IF(OR(A38="",$C$25="",$C$12="",$C$12=0),"",$C$25*SQRT(A38/$C$12))</f>
        <v/>
      </c>
      <c r="D38" s="5"/>
      <c r="E38" s="5"/>
      <c r="F38" s="5"/>
      <c r="G38" s="7" t="str">
        <f aca="false">IF(OR(B38="",D38="",B38=0),"",(D38-B38)/B38*100)</f>
        <v/>
      </c>
      <c r="H38" s="7" t="str">
        <f aca="false">IF(G38="","",ABS(G38))</f>
        <v/>
      </c>
      <c r="J38" s="7" t="n">
        <v>0.1</v>
      </c>
      <c r="K38" s="7" t="str">
        <f aca="false">IF($C$29="","",$C$29*SQRT(2*J38/$C$7))</f>
        <v/>
      </c>
    </row>
    <row r="39" customFormat="false" ht="15" hidden="false" customHeight="false" outlineLevel="0" collapsed="false">
      <c r="A39" s="5"/>
      <c r="B39" s="7" t="str">
        <f aca="false">IF(OR(A39="",$C$29=""),"",$C$29*SQRT(2*A39/$C$7))</f>
        <v/>
      </c>
      <c r="C39" s="7" t="str">
        <f aca="false">IF(OR(A39="",$C$25="",$C$12="",$C$12=0),"",$C$25*SQRT(A39/$C$12))</f>
        <v/>
      </c>
      <c r="D39" s="5"/>
      <c r="E39" s="5"/>
      <c r="F39" s="5"/>
      <c r="G39" s="7" t="str">
        <f aca="false">IF(OR(B39="",D39="",B39=0),"",(D39-B39)/B39*100)</f>
        <v/>
      </c>
      <c r="H39" s="7" t="str">
        <f aca="false">IF(G39="","",ABS(G39))</f>
        <v/>
      </c>
      <c r="J39" s="7" t="n">
        <v>0.15</v>
      </c>
      <c r="K39" s="7" t="str">
        <f aca="false">IF($C$29="","",$C$29*SQRT(2*J39/$C$7))</f>
        <v/>
      </c>
    </row>
    <row r="40" customFormat="false" ht="15" hidden="false" customHeight="false" outlineLevel="0" collapsed="false">
      <c r="A40" s="5"/>
      <c r="B40" s="7" t="str">
        <f aca="false">IF(OR(A40="",$C$29=""),"",$C$29*SQRT(2*A40/$C$7))</f>
        <v/>
      </c>
      <c r="C40" s="7" t="str">
        <f aca="false">IF(OR(A40="",$C$25="",$C$12="",$C$12=0),"",$C$25*SQRT(A40/$C$12))</f>
        <v/>
      </c>
      <c r="D40" s="5"/>
      <c r="E40" s="5"/>
      <c r="F40" s="5"/>
      <c r="G40" s="7" t="str">
        <f aca="false">IF(OR(B40="",D40="",B40=0),"",(D40-B40)/B40*100)</f>
        <v/>
      </c>
      <c r="H40" s="7" t="str">
        <f aca="false">IF(G40="","",ABS(G40))</f>
        <v/>
      </c>
      <c r="J40" s="7" t="n">
        <v>0.2</v>
      </c>
      <c r="K40" s="7" t="str">
        <f aca="false">IF($C$29="","",$C$29*SQRT(2*J40/$C$7))</f>
        <v/>
      </c>
    </row>
    <row r="41" customFormat="false" ht="15" hidden="false" customHeight="false" outlineLevel="0" collapsed="false">
      <c r="A41" s="5"/>
      <c r="B41" s="7" t="str">
        <f aca="false">IF(OR(A41="",$C$29=""),"",$C$29*SQRT(2*A41/$C$7))</f>
        <v/>
      </c>
      <c r="C41" s="7" t="str">
        <f aca="false">IF(OR(A41="",$C$25="",$C$12="",$C$12=0),"",$C$25*SQRT(A41/$C$12))</f>
        <v/>
      </c>
      <c r="D41" s="5"/>
      <c r="E41" s="5"/>
      <c r="F41" s="5"/>
      <c r="G41" s="7" t="str">
        <f aca="false">IF(OR(B41="",D41="",B41=0),"",(D41-B41)/B41*100)</f>
        <v/>
      </c>
      <c r="H41" s="7" t="str">
        <f aca="false">IF(G41="","",ABS(G41))</f>
        <v/>
      </c>
      <c r="J41" s="7" t="n">
        <v>0.25</v>
      </c>
      <c r="K41" s="7" t="str">
        <f aca="false">IF($C$29="","",$C$29*SQRT(2*J41/$C$7))</f>
        <v/>
      </c>
    </row>
    <row r="42" customFormat="false" ht="15" hidden="false" customHeight="false" outlineLevel="0" collapsed="false">
      <c r="A42" s="5"/>
      <c r="B42" s="7" t="str">
        <f aca="false">IF(OR(A42="",$C$29=""),"",$C$29*SQRT(2*A42/$C$7))</f>
        <v/>
      </c>
      <c r="C42" s="7" t="str">
        <f aca="false">IF(OR(A42="",$C$25="",$C$12="",$C$12=0),"",$C$25*SQRT(A42/$C$12))</f>
        <v/>
      </c>
      <c r="D42" s="5"/>
      <c r="E42" s="5"/>
      <c r="F42" s="5"/>
      <c r="G42" s="7" t="str">
        <f aca="false">IF(OR(B42="",D42="",B42=0),"",(D42-B42)/B42*100)</f>
        <v/>
      </c>
      <c r="H42" s="7" t="str">
        <f aca="false">IF(G42="","",ABS(G42))</f>
        <v/>
      </c>
      <c r="J42" s="7" t="n">
        <v>0.3</v>
      </c>
      <c r="K42" s="7" t="str">
        <f aca="false">IF($C$29="","",$C$29*SQRT(2*J42/$C$7))</f>
        <v/>
      </c>
    </row>
    <row r="43" customFormat="false" ht="15" hidden="false" customHeight="false" outlineLevel="0" collapsed="false">
      <c r="A43" s="5"/>
      <c r="B43" s="7" t="str">
        <f aca="false">IF(OR(A43="",$C$29=""),"",$C$29*SQRT(2*A43/$C$7))</f>
        <v/>
      </c>
      <c r="C43" s="7" t="str">
        <f aca="false">IF(OR(A43="",$C$25="",$C$12="",$C$12=0),"",$C$25*SQRT(A43/$C$12))</f>
        <v/>
      </c>
      <c r="D43" s="5"/>
      <c r="E43" s="5"/>
      <c r="F43" s="5"/>
      <c r="G43" s="7" t="str">
        <f aca="false">IF(OR(B43="",D43="",B43=0),"",(D43-B43)/B43*100)</f>
        <v/>
      </c>
      <c r="H43" s="7" t="str">
        <f aca="false">IF(G43="","",ABS(G43))</f>
        <v/>
      </c>
      <c r="J43" s="7" t="n">
        <v>0.35</v>
      </c>
      <c r="K43" s="7" t="str">
        <f aca="false">IF($C$29="","",$C$29*SQRT(2*J43/$C$7))</f>
        <v/>
      </c>
    </row>
    <row r="44" customFormat="false" ht="15" hidden="false" customHeight="false" outlineLevel="0" collapsed="false">
      <c r="A44" s="5"/>
      <c r="B44" s="7" t="str">
        <f aca="false">IF(OR(A44="",$C$29=""),"",$C$29*SQRT(2*A44/$C$7))</f>
        <v/>
      </c>
      <c r="C44" s="7" t="str">
        <f aca="false">IF(OR(A44="",$C$25="",$C$12="",$C$12=0),"",$C$25*SQRT(A44/$C$12))</f>
        <v/>
      </c>
      <c r="D44" s="5"/>
      <c r="E44" s="5"/>
      <c r="F44" s="5"/>
      <c r="G44" s="7" t="str">
        <f aca="false">IF(OR(B44="",D44="",B44=0),"",(D44-B44)/B44*100)</f>
        <v/>
      </c>
      <c r="H44" s="7" t="str">
        <f aca="false">IF(G44="","",ABS(G44))</f>
        <v/>
      </c>
      <c r="J44" s="7" t="n">
        <v>0.4</v>
      </c>
      <c r="K44" s="7" t="str">
        <f aca="false">IF($C$29="","",$C$29*SQRT(2*J44/$C$7))</f>
        <v/>
      </c>
    </row>
    <row r="45" customFormat="false" ht="15" hidden="false" customHeight="false" outlineLevel="0" collapsed="false">
      <c r="A45" s="5"/>
      <c r="B45" s="7" t="str">
        <f aca="false">IF(OR(A45="",$C$29=""),"",$C$29*SQRT(2*A45/$C$7))</f>
        <v/>
      </c>
      <c r="C45" s="7" t="str">
        <f aca="false">IF(OR(A45="",$C$25="",$C$12="",$C$12=0),"",$C$25*SQRT(A45/$C$12))</f>
        <v/>
      </c>
      <c r="D45" s="5"/>
      <c r="E45" s="5"/>
      <c r="F45" s="5"/>
      <c r="G45" s="7" t="str">
        <f aca="false">IF(OR(B45="",D45="",B45=0),"",(D45-B45)/B45*100)</f>
        <v/>
      </c>
      <c r="H45" s="7" t="str">
        <f aca="false">IF(G45="","",ABS(G45))</f>
        <v/>
      </c>
      <c r="J45" s="7" t="n">
        <v>0.45</v>
      </c>
      <c r="K45" s="7" t="str">
        <f aca="false">IF($C$29="","",$C$29*SQRT(2*J45/$C$7))</f>
        <v/>
      </c>
    </row>
    <row r="46" customFormat="false" ht="15" hidden="false" customHeight="false" outlineLevel="0" collapsed="false">
      <c r="J46" s="7" t="n">
        <v>0.5</v>
      </c>
      <c r="K46" s="7" t="str">
        <f aca="false">IF($C$29="","",$C$29*SQRT(2*J46/$C$7))</f>
        <v/>
      </c>
    </row>
    <row r="47" customFormat="false" ht="15" hidden="false" customHeight="false" outlineLevel="0" collapsed="false">
      <c r="A47" s="6" t="s">
        <v>35</v>
      </c>
      <c r="J47" s="7" t="n">
        <v>0.55</v>
      </c>
      <c r="K47" s="7" t="str">
        <f aca="false">IF($C$29="","",$C$29*SQRT(2*J47/$C$7))</f>
        <v/>
      </c>
    </row>
    <row r="48" customFormat="false" ht="15" hidden="false" customHeight="false" outlineLevel="0" collapsed="false">
      <c r="A48" s="6" t="s">
        <v>36</v>
      </c>
      <c r="J48" s="7" t="n">
        <v>0.6</v>
      </c>
      <c r="K48" s="7" t="str">
        <f aca="false">IF($C$29="","",$C$29*SQRT(2*J48/$C$7))</f>
        <v/>
      </c>
    </row>
    <row r="49" customFormat="false" ht="15" hidden="false" customHeight="false" outlineLevel="0" collapsed="false">
      <c r="J49" s="7" t="n">
        <v>0.65</v>
      </c>
      <c r="K49" s="7" t="str">
        <f aca="false">IF($C$29="","",$C$29*SQRT(2*J49/$C$7))</f>
        <v/>
      </c>
    </row>
    <row r="50" customFormat="false" ht="15" hidden="false" customHeight="false" outlineLevel="0" collapsed="false">
      <c r="J50" s="7" t="n">
        <v>0.7</v>
      </c>
      <c r="K50" s="7" t="str">
        <f aca="false">IF($C$29="","",$C$29*SQRT(2*J50/$C$7))</f>
        <v/>
      </c>
    </row>
    <row r="51" customFormat="false" ht="15" hidden="false" customHeight="false" outlineLevel="0" collapsed="false">
      <c r="J51" s="7" t="n">
        <v>0.75</v>
      </c>
      <c r="K51" s="7" t="str">
        <f aca="false">IF($C$29="","",$C$29*SQRT(2*J51/$C$7))</f>
        <v/>
      </c>
    </row>
    <row r="52" customFormat="false" ht="15" hidden="false" customHeight="false" outlineLevel="0" collapsed="false">
      <c r="J52" s="7" t="n">
        <v>0.8</v>
      </c>
      <c r="K52" s="7" t="str">
        <f aca="false">IF($C$29="","",$C$29*SQRT(2*J52/$C$7))</f>
        <v/>
      </c>
    </row>
    <row r="53" customFormat="false" ht="15" hidden="false" customHeight="false" outlineLevel="0" collapsed="false">
      <c r="J53" s="7" t="n">
        <v>0.85</v>
      </c>
      <c r="K53" s="7" t="str">
        <f aca="false">IF($C$29="","",$C$29*SQRT(2*J53/$C$7))</f>
        <v/>
      </c>
    </row>
    <row r="54" customFormat="false" ht="15" hidden="false" customHeight="false" outlineLevel="0" collapsed="false">
      <c r="J54" s="7" t="n">
        <v>0.9</v>
      </c>
      <c r="K54" s="7" t="str">
        <f aca="false">IF($C$29="","",$C$29*SQRT(2*J54/$C$7))</f>
        <v/>
      </c>
    </row>
    <row r="55" customFormat="false" ht="15" hidden="false" customHeight="false" outlineLevel="0" collapsed="false">
      <c r="J55" s="7" t="n">
        <v>0.95</v>
      </c>
      <c r="K55" s="7" t="str">
        <f aca="false">IF($C$29="","",$C$29*SQRT(2*J55/$C$7))</f>
        <v/>
      </c>
    </row>
    <row r="56" customFormat="false" ht="15" hidden="false" customHeight="false" outlineLevel="0" collapsed="false">
      <c r="J56" s="7" t="n">
        <v>1</v>
      </c>
      <c r="K56" s="7" t="str">
        <f aca="false">IF($C$29="","",$C$29*SQRT(2*J56/$C$7))</f>
        <v/>
      </c>
    </row>
    <row r="57" customFormat="false" ht="15" hidden="false" customHeight="false" outlineLevel="0" collapsed="false">
      <c r="J57" s="7" t="n">
        <v>1.05</v>
      </c>
      <c r="K57" s="7" t="str">
        <f aca="false">IF($C$29="","",$C$29*SQRT(2*J57/$C$7))</f>
        <v/>
      </c>
    </row>
    <row r="58" customFormat="false" ht="15" hidden="false" customHeight="false" outlineLevel="0" collapsed="false">
      <c r="J58" s="7" t="n">
        <v>1.1</v>
      </c>
      <c r="K58" s="7" t="str">
        <f aca="false">IF($C$29="","",$C$29*SQRT(2*J58/$C$7))</f>
        <v/>
      </c>
    </row>
    <row r="59" customFormat="false" ht="15" hidden="false" customHeight="false" outlineLevel="0" collapsed="false">
      <c r="J59" s="7" t="n">
        <v>1.15</v>
      </c>
      <c r="K59" s="7" t="str">
        <f aca="false">IF($C$29="","",$C$29*SQRT(2*J59/$C$7))</f>
        <v/>
      </c>
    </row>
    <row r="60" customFormat="false" ht="15" hidden="false" customHeight="false" outlineLevel="0" collapsed="false">
      <c r="J60" s="7" t="n">
        <v>1.2</v>
      </c>
      <c r="K60" s="7" t="str">
        <f aca="false">IF($C$29="","",$C$29*SQRT(2*J60/$C$7))</f>
        <v/>
      </c>
    </row>
    <row r="61" customFormat="false" ht="15" hidden="false" customHeight="false" outlineLevel="0" collapsed="false">
      <c r="J61" s="7" t="n">
        <v>1.25</v>
      </c>
      <c r="K61" s="7" t="str">
        <f aca="false">IF($C$29="","",$C$29*SQRT(2*J61/$C$7))</f>
        <v/>
      </c>
    </row>
    <row r="62" customFormat="false" ht="15" hidden="false" customHeight="false" outlineLevel="0" collapsed="false">
      <c r="J62" s="7" t="n">
        <v>1.3</v>
      </c>
      <c r="K62" s="7" t="str">
        <f aca="false">IF($C$29="","",$C$29*SQRT(2*J62/$C$7))</f>
        <v/>
      </c>
    </row>
    <row r="63" customFormat="false" ht="15" hidden="false" customHeight="false" outlineLevel="0" collapsed="false">
      <c r="J63" s="7" t="n">
        <v>1.35</v>
      </c>
      <c r="K63" s="7" t="str">
        <f aca="false">IF($C$29="","",$C$29*SQRT(2*J63/$C$7))</f>
        <v/>
      </c>
    </row>
    <row r="64" customFormat="false" ht="15" hidden="false" customHeight="false" outlineLevel="0" collapsed="false">
      <c r="J64" s="7" t="n">
        <v>1.4</v>
      </c>
      <c r="K64" s="7" t="str">
        <f aca="false">IF($C$29="","",$C$29*SQRT(2*J64/$C$7))</f>
        <v/>
      </c>
    </row>
    <row r="65" customFormat="false" ht="15" hidden="false" customHeight="false" outlineLevel="0" collapsed="false">
      <c r="J65" s="7" t="n">
        <v>1.45</v>
      </c>
      <c r="K65" s="7" t="str">
        <f aca="false">IF($C$29="","",$C$29*SQRT(2*J65/$C$7))</f>
        <v/>
      </c>
    </row>
    <row r="66" customFormat="false" ht="15" hidden="false" customHeight="false" outlineLevel="0" collapsed="false">
      <c r="J66" s="7" t="n">
        <v>1.5</v>
      </c>
      <c r="K66" s="7" t="str">
        <f aca="false">IF($C$29="","",$C$29*SQRT(2*J66/$C$7))</f>
        <v/>
      </c>
    </row>
    <row r="67" customFormat="false" ht="15" hidden="false" customHeight="false" outlineLevel="0" collapsed="false">
      <c r="J67" s="7" t="n">
        <v>1.55</v>
      </c>
      <c r="K67" s="7" t="str">
        <f aca="false">IF($C$29="","",$C$29*SQRT(2*J67/$C$7))</f>
        <v/>
      </c>
    </row>
    <row r="68" customFormat="false" ht="15" hidden="false" customHeight="false" outlineLevel="0" collapsed="false">
      <c r="J68" s="7" t="n">
        <v>1.6</v>
      </c>
      <c r="K68" s="7" t="str">
        <f aca="false">IF($C$29="","",$C$29*SQRT(2*J68/$C$7))</f>
        <v/>
      </c>
    </row>
    <row r="69" customFormat="false" ht="15" hidden="false" customHeight="false" outlineLevel="0" collapsed="false">
      <c r="J69" s="7" t="n">
        <v>1.65</v>
      </c>
      <c r="K69" s="7" t="str">
        <f aca="false">IF($C$29="","",$C$29*SQRT(2*J69/$C$7))</f>
        <v/>
      </c>
    </row>
    <row r="70" customFormat="false" ht="15" hidden="false" customHeight="false" outlineLevel="0" collapsed="false">
      <c r="J70" s="7" t="n">
        <v>1.7</v>
      </c>
      <c r="K70" s="7" t="str">
        <f aca="false">IF($C$29="","",$C$29*SQRT(2*J70/$C$7))</f>
        <v/>
      </c>
    </row>
    <row r="71" customFormat="false" ht="15" hidden="false" customHeight="false" outlineLevel="0" collapsed="false">
      <c r="J71" s="7" t="n">
        <v>1.75</v>
      </c>
      <c r="K71" s="7" t="str">
        <f aca="false">IF($C$29="","",$C$29*SQRT(2*J71/$C$7))</f>
        <v/>
      </c>
    </row>
    <row r="72" customFormat="false" ht="15" hidden="false" customHeight="false" outlineLevel="0" collapsed="false">
      <c r="J72" s="7" t="n">
        <v>1.8</v>
      </c>
      <c r="K72" s="7" t="str">
        <f aca="false">IF($C$29="","",$C$29*SQRT(2*J72/$C$7))</f>
        <v/>
      </c>
    </row>
    <row r="73" customFormat="false" ht="15" hidden="false" customHeight="false" outlineLevel="0" collapsed="false">
      <c r="J73" s="7" t="n">
        <v>1.85</v>
      </c>
      <c r="K73" s="7" t="str">
        <f aca="false">IF($C$29="","",$C$29*SQRT(2*J73/$C$7))</f>
        <v/>
      </c>
    </row>
    <row r="74" customFormat="false" ht="15" hidden="false" customHeight="false" outlineLevel="0" collapsed="false">
      <c r="J74" s="7" t="n">
        <v>1.9</v>
      </c>
      <c r="K74" s="7" t="str">
        <f aca="false">IF($C$29="","",$C$29*SQRT(2*J74/$C$7))</f>
        <v/>
      </c>
    </row>
    <row r="75" customFormat="false" ht="15" hidden="false" customHeight="false" outlineLevel="0" collapsed="false">
      <c r="J75" s="7" t="n">
        <v>1.95</v>
      </c>
      <c r="K75" s="7" t="str">
        <f aca="false">IF($C$29="","",$C$29*SQRT(2*J75/$C$7))</f>
        <v/>
      </c>
    </row>
    <row r="76" customFormat="false" ht="15" hidden="false" customHeight="false" outlineLevel="0" collapsed="false">
      <c r="J76" s="7" t="n">
        <v>2</v>
      </c>
      <c r="K76" s="7" t="str">
        <f aca="false">IF($C$29="","",$C$29*SQRT(2*J76/$C$7))</f>
        <v/>
      </c>
    </row>
    <row r="78" customFormat="false" ht="15" hidden="false" customHeight="false" outlineLevel="0" collapsed="false">
      <c r="J78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6" t="s">
        <v>39</v>
      </c>
    </row>
    <row r="4" customFormat="false" ht="15" hidden="false" customHeight="false" outlineLevel="0" collapsed="false">
      <c r="A4" s="3" t="s">
        <v>2</v>
      </c>
      <c r="B4" s="4"/>
      <c r="D4" s="3" t="s">
        <v>3</v>
      </c>
      <c r="E4" s="4"/>
    </row>
    <row r="5" customFormat="false" ht="15" hidden="false" customHeight="false" outlineLevel="0" collapsed="false">
      <c r="A5" s="3" t="s">
        <v>4</v>
      </c>
      <c r="B5" s="4"/>
      <c r="D5" s="3" t="s">
        <v>5</v>
      </c>
      <c r="E5" s="4"/>
    </row>
    <row r="7" customFormat="false" ht="15" hidden="false" customHeight="false" outlineLevel="0" collapsed="false">
      <c r="A7" s="3" t="s">
        <v>6</v>
      </c>
      <c r="C7" s="5" t="n">
        <v>9.81</v>
      </c>
      <c r="D7" s="6" t="s">
        <v>7</v>
      </c>
    </row>
    <row r="9" customFormat="false" ht="15" hidden="false" customHeight="false" outlineLevel="0" collapsed="false">
      <c r="A9" s="3" t="s">
        <v>8</v>
      </c>
      <c r="B9" s="5" t="s">
        <v>9</v>
      </c>
      <c r="D9" s="7" t="s">
        <v>10</v>
      </c>
    </row>
    <row r="11" customFormat="false" ht="16.15" hidden="false" customHeight="false" outlineLevel="0" collapsed="false">
      <c r="A11" s="1" t="s">
        <v>11</v>
      </c>
    </row>
    <row r="12" customFormat="false" ht="15" hidden="false" customHeight="false" outlineLevel="0" collapsed="false">
      <c r="A12" s="3" t="s">
        <v>12</v>
      </c>
      <c r="C12" s="5" t="n">
        <v>0.927</v>
      </c>
    </row>
    <row r="13" customFormat="false" ht="15" hidden="false" customHeight="false" outlineLevel="0" collapsed="false">
      <c r="A13" s="3" t="s">
        <v>13</v>
      </c>
      <c r="C13" s="5" t="n">
        <v>0.002</v>
      </c>
    </row>
    <row r="15" customFormat="false" ht="15" hidden="false" customHeight="false" outlineLevel="0" collapsed="false">
      <c r="A15" s="8" t="s">
        <v>14</v>
      </c>
      <c r="B15" s="8" t="s">
        <v>15</v>
      </c>
    </row>
    <row r="16" customFormat="false" ht="15" hidden="false" customHeight="false" outlineLevel="0" collapsed="false">
      <c r="A16" s="9" t="n">
        <v>1</v>
      </c>
      <c r="B16" s="5"/>
      <c r="D16" s="6" t="s">
        <v>40</v>
      </c>
    </row>
    <row r="17" customFormat="false" ht="15" hidden="false" customHeight="false" outlineLevel="0" collapsed="false">
      <c r="A17" s="9" t="n">
        <v>2</v>
      </c>
      <c r="B17" s="5"/>
    </row>
    <row r="18" customFormat="false" ht="15" hidden="false" customHeight="false" outlineLevel="0" collapsed="false">
      <c r="A18" s="9" t="n">
        <v>3</v>
      </c>
      <c r="B18" s="5"/>
    </row>
    <row r="19" customFormat="false" ht="15" hidden="false" customHeight="false" outlineLevel="0" collapsed="false">
      <c r="A19" s="9" t="n">
        <v>4</v>
      </c>
      <c r="B19" s="5"/>
    </row>
    <row r="20" customFormat="false" ht="15" hidden="false" customHeight="false" outlineLevel="0" collapsed="false">
      <c r="A20" s="9" t="n">
        <v>5</v>
      </c>
      <c r="B20" s="5"/>
    </row>
    <row r="21" customFormat="false" ht="15" hidden="false" customHeight="false" outlineLevel="0" collapsed="false">
      <c r="A21" s="9" t="n">
        <v>6</v>
      </c>
      <c r="B21" s="5"/>
    </row>
    <row r="22" customFormat="false" ht="15" hidden="false" customHeight="false" outlineLevel="0" collapsed="false">
      <c r="A22" s="9" t="n">
        <v>7</v>
      </c>
      <c r="B22" s="5"/>
    </row>
    <row r="24" customFormat="false" ht="15" hidden="false" customHeight="false" outlineLevel="0" collapsed="false">
      <c r="A24" s="3" t="s">
        <v>16</v>
      </c>
      <c r="C24" s="7" t="str">
        <f aca="false">IF(COUNT(B16:B22)=0,"",COUNT(B16:B22))</f>
        <v/>
      </c>
    </row>
    <row r="25" customFormat="false" ht="15" hidden="false" customHeight="false" outlineLevel="0" collapsed="false">
      <c r="A25" s="3" t="s">
        <v>17</v>
      </c>
      <c r="C25" s="5" t="n">
        <v>0.475</v>
      </c>
    </row>
    <row r="26" customFormat="false" ht="15" hidden="false" customHeight="false" outlineLevel="0" collapsed="false">
      <c r="A26" s="3" t="s">
        <v>18</v>
      </c>
      <c r="C26" s="7" t="str">
        <f aca="false">IF(COUNT(B16:B22)&lt;2,"",STDEV(B16:B22))</f>
        <v/>
      </c>
    </row>
    <row r="27" customFormat="false" ht="15" hidden="false" customHeight="false" outlineLevel="0" collapsed="false">
      <c r="A27" s="3" t="s">
        <v>19</v>
      </c>
      <c r="C27" s="7" t="str">
        <f aca="false">IF(OR(C26="",C24=""),"",C26/SQRT(C24))</f>
        <v/>
      </c>
    </row>
    <row r="28" customFormat="false" ht="15" hidden="false" customHeight="false" outlineLevel="0" collapsed="false">
      <c r="A28" s="3"/>
      <c r="C28" s="7"/>
    </row>
    <row r="29" customFormat="false" ht="15" hidden="false" customHeight="false" outlineLevel="0" collapsed="false">
      <c r="A29" s="3" t="s">
        <v>20</v>
      </c>
      <c r="C29" s="7" t="n">
        <f aca="false">IF(OR($C$25="",$C$12="",$C$12=0),"",$C$25*SQRT($C$7/(2*$C$12)))</f>
        <v>1.09263032147999</v>
      </c>
    </row>
    <row r="30" customFormat="false" ht="15" hidden="false" customHeight="false" outlineLevel="0" collapsed="false">
      <c r="A30" s="3" t="s">
        <v>21</v>
      </c>
      <c r="C30" s="7" t="str">
        <f aca="false">IF(OR(C27="",C25="",C25=0,C13="",C12="",C12=0),"",SQRT((C27/C25)^2+(0.5*C13/C12)^2))</f>
        <v/>
      </c>
      <c r="D30" s="6" t="s">
        <v>22</v>
      </c>
    </row>
    <row r="31" customFormat="false" ht="15" hidden="false" customHeight="false" outlineLevel="0" collapsed="false">
      <c r="A31" s="3" t="s">
        <v>23</v>
      </c>
      <c r="C31" s="7" t="str">
        <f aca="false">IF(OR(C29="",C30=""),"",C29*C30)</f>
        <v/>
      </c>
    </row>
    <row r="34" customFormat="false" ht="16.15" hidden="false" customHeight="false" outlineLevel="0" collapsed="false">
      <c r="A34" s="1" t="s">
        <v>24</v>
      </c>
      <c r="J34" s="1" t="s">
        <v>25</v>
      </c>
    </row>
    <row r="35" customFormat="false" ht="33.75" hidden="false" customHeight="true" outlineLevel="0" collapsed="false">
      <c r="A35" s="10" t="s">
        <v>26</v>
      </c>
      <c r="B35" s="10" t="s">
        <v>27</v>
      </c>
      <c r="C35" s="10" t="s">
        <v>28</v>
      </c>
      <c r="D35" s="10" t="s">
        <v>29</v>
      </c>
      <c r="E35" s="10" t="s">
        <v>30</v>
      </c>
      <c r="F35" s="10" t="s">
        <v>31</v>
      </c>
      <c r="G35" s="10" t="s">
        <v>32</v>
      </c>
      <c r="H35" s="10" t="s">
        <v>33</v>
      </c>
      <c r="J35" s="8" t="s">
        <v>26</v>
      </c>
      <c r="K35" s="8" t="s">
        <v>34</v>
      </c>
    </row>
    <row r="36" customFormat="false" ht="15" hidden="false" customHeight="false" outlineLevel="0" collapsed="false">
      <c r="A36" s="5" t="n">
        <v>0.142</v>
      </c>
      <c r="B36" s="7" t="n">
        <f aca="false">IF(OR(A36="",$C$29=""),"",$C$29*SQRT(2*A36/$C$7))</f>
        <v>0.18590792979403</v>
      </c>
      <c r="C36" s="7" t="n">
        <f aca="false">IF(OR(A36="",$C$25="",$C$12="",$C$12=0),"",$C$25*SQRT(A36/$C$12))</f>
        <v>0.18590792979403</v>
      </c>
      <c r="D36" s="5" t="n">
        <v>0.164</v>
      </c>
      <c r="E36" s="5"/>
      <c r="F36" s="5"/>
      <c r="G36" s="7" t="n">
        <f aca="false">IF(OR(B36="",D36="",B36=0),"",(D36-B36)/B36*100)</f>
        <v>-11.7842901151673</v>
      </c>
      <c r="H36" s="7" t="n">
        <f aca="false">IF(G36="","",ABS(G36))</f>
        <v>11.7842901151673</v>
      </c>
      <c r="J36" s="7" t="n">
        <v>0</v>
      </c>
      <c r="K36" s="7" t="n">
        <f aca="false">IF($C$29="","",$C$29*SQRT(2*J36/$C$7))</f>
        <v>0</v>
      </c>
    </row>
    <row r="37" customFormat="false" ht="15" hidden="false" customHeight="false" outlineLevel="0" collapsed="false">
      <c r="A37" s="5" t="n">
        <v>0.512</v>
      </c>
      <c r="B37" s="7" t="n">
        <f aca="false">IF(OR(A37="",$C$29=""),"",$C$29*SQRT(2*A37/$C$7))</f>
        <v>0.353011393907753</v>
      </c>
      <c r="C37" s="7" t="n">
        <f aca="false">IF(OR(A37="",$C$25="",$C$12="",$C$12=0),"",$C$25*SQRT(A37/$C$12))</f>
        <v>0.353011393907753</v>
      </c>
      <c r="D37" s="5" t="n">
        <v>0.31</v>
      </c>
      <c r="E37" s="5"/>
      <c r="F37" s="5"/>
      <c r="G37" s="7" t="n">
        <f aca="false">IF(OR(B37="",D37="",B37=0),"",(D37-B37)/B37*100)</f>
        <v>-12.184137580271</v>
      </c>
      <c r="H37" s="7" t="n">
        <f aca="false">IF(G37="","",ABS(G37))</f>
        <v>12.184137580271</v>
      </c>
      <c r="J37" s="7" t="n">
        <v>0.05</v>
      </c>
      <c r="K37" s="7" t="n">
        <f aca="false">IF($C$29="","",$C$29*SQRT(2*J37/$C$7))</f>
        <v>0.110316060596173</v>
      </c>
    </row>
    <row r="38" customFormat="false" ht="15" hidden="false" customHeight="false" outlineLevel="0" collapsed="false">
      <c r="A38" s="5" t="n">
        <v>0.865</v>
      </c>
      <c r="B38" s="7" t="n">
        <f aca="false">IF(OR(A38="",$C$29=""),"",$C$29*SQRT(2*A38/$C$7))</f>
        <v>0.458840554877652</v>
      </c>
      <c r="C38" s="7" t="n">
        <f aca="false">IF(OR(A38="",$C$25="",$C$12="",$C$12=0),"",$C$25*SQRT(A38/$C$12))</f>
        <v>0.458840554877652</v>
      </c>
      <c r="D38" s="5" t="n">
        <v>0.436</v>
      </c>
      <c r="E38" s="5"/>
      <c r="F38" s="5"/>
      <c r="G38" s="7" t="n">
        <f aca="false">IF(OR(B38="",D38="",B38=0),"",(D38-B38)/B38*100)</f>
        <v>-4.97788493951722</v>
      </c>
      <c r="H38" s="7" t="n">
        <f aca="false">IF(G38="","",ABS(G38))</f>
        <v>4.97788493951722</v>
      </c>
      <c r="J38" s="7" t="n">
        <v>0.1</v>
      </c>
      <c r="K38" s="7" t="n">
        <f aca="false">IF($C$29="","",$C$29*SQRT(2*J38/$C$7))</f>
        <v>0.15601046904268</v>
      </c>
    </row>
    <row r="39" customFormat="false" ht="15" hidden="false" customHeight="false" outlineLevel="0" collapsed="false">
      <c r="A39" s="5" t="n">
        <v>1.217</v>
      </c>
      <c r="B39" s="7" t="n">
        <f aca="false">IF(OR(A39="",$C$29=""),"",$C$29*SQRT(2*A39/$C$7))</f>
        <v>0.544250744333583</v>
      </c>
      <c r="C39" s="7" t="n">
        <f aca="false">IF(OR(A39="",$C$25="",$C$12="",$C$12=0),"",$C$25*SQRT(A39/$C$12))</f>
        <v>0.544250744333583</v>
      </c>
      <c r="D39" s="5" t="n">
        <v>0.536</v>
      </c>
      <c r="E39" s="5"/>
      <c r="F39" s="5"/>
      <c r="G39" s="7" t="n">
        <f aca="false">IF(OR(B39="",D39="",B39=0),"",(D39-B39)/B39*100)</f>
        <v>-1.51598218642505</v>
      </c>
      <c r="H39" s="7" t="n">
        <f aca="false">IF(G39="","",ABS(G39))</f>
        <v>1.51598218642505</v>
      </c>
      <c r="J39" s="7" t="n">
        <v>0.15</v>
      </c>
      <c r="K39" s="7" t="n">
        <f aca="false">IF($C$29="","",$C$29*SQRT(2*J39/$C$7))</f>
        <v>0.191073021843418</v>
      </c>
    </row>
    <row r="40" customFormat="false" ht="15" hidden="false" customHeight="false" outlineLevel="0" collapsed="false">
      <c r="A40" s="5" t="n">
        <v>1.556</v>
      </c>
      <c r="B40" s="7" t="n">
        <f aca="false">IF(OR(A40="",$C$29=""),"",$C$29*SQRT(2*A40/$C$7))</f>
        <v>0.61540148356684</v>
      </c>
      <c r="C40" s="7" t="n">
        <f aca="false">IF(OR(A40="",$C$25="",$C$12="",$C$12=0),"",$C$25*SQRT(A40/$C$12))</f>
        <v>0.61540148356684</v>
      </c>
      <c r="D40" s="5" t="n">
        <v>0.599</v>
      </c>
      <c r="E40" s="5"/>
      <c r="F40" s="5"/>
      <c r="G40" s="7" t="n">
        <f aca="false">IF(OR(B40="",D40="",B40=0),"",(D40-B40)/B40*100)</f>
        <v>-2.66516802523412</v>
      </c>
      <c r="H40" s="7" t="n">
        <f aca="false">IF(G40="","",ABS(G40))</f>
        <v>2.66516802523412</v>
      </c>
      <c r="J40" s="7" t="n">
        <v>0.2</v>
      </c>
      <c r="K40" s="7" t="n">
        <f aca="false">IF($C$29="","",$C$29*SQRT(2*J40/$C$7))</f>
        <v>0.220632121192346</v>
      </c>
    </row>
    <row r="41" customFormat="false" ht="15" hidden="false" customHeight="false" outlineLevel="0" collapsed="false">
      <c r="A41" s="5" t="n">
        <v>1.93</v>
      </c>
      <c r="B41" s="7" t="n">
        <f aca="false">IF(OR(A41="",$C$29=""),"",$C$29*SQRT(2*A41/$C$7))</f>
        <v>0.685381530611014</v>
      </c>
      <c r="C41" s="7" t="n">
        <f aca="false">IF(OR(A41="",$C$25="",$C$12="",$C$12=0),"",$C$25*SQRT(A41/$C$12))</f>
        <v>0.685381530611014</v>
      </c>
      <c r="D41" s="5" t="n">
        <v>0.693</v>
      </c>
      <c r="E41" s="5"/>
      <c r="F41" s="5"/>
      <c r="G41" s="7" t="n">
        <f aca="false">IF(OR(B41="",D41="",B41=0),"",(D41-B41)/B41*100)</f>
        <v>1.11156619324041</v>
      </c>
      <c r="H41" s="7" t="n">
        <f aca="false">IF(G41="","",ABS(G41))</f>
        <v>1.11156619324041</v>
      </c>
      <c r="J41" s="7" t="n">
        <v>0.25</v>
      </c>
      <c r="K41" s="7" t="n">
        <f aca="false">IF($C$29="","",$C$29*SQRT(2*J41/$C$7))</f>
        <v>0.246674210503028</v>
      </c>
    </row>
    <row r="42" customFormat="false" ht="15" hidden="false" customHeight="false" outlineLevel="0" collapsed="false">
      <c r="A42" s="5"/>
      <c r="B42" s="7" t="str">
        <f aca="false">IF(OR(A42="",$C$29=""),"",$C$29*SQRT(2*A42/$C$7))</f>
        <v/>
      </c>
      <c r="C42" s="7" t="str">
        <f aca="false">IF(OR(A42="",$C$25="",$C$12="",$C$12=0),"",$C$25*SQRT(A42/$C$12))</f>
        <v/>
      </c>
      <c r="D42" s="5"/>
      <c r="E42" s="5"/>
      <c r="F42" s="5"/>
      <c r="G42" s="7" t="str">
        <f aca="false">IF(OR(B42="",D42="",B42=0),"",(D42-B42)/B42*100)</f>
        <v/>
      </c>
      <c r="H42" s="7" t="str">
        <f aca="false">IF(G42="","",ABS(G42))</f>
        <v/>
      </c>
      <c r="J42" s="7" t="n">
        <v>0.3</v>
      </c>
      <c r="K42" s="7" t="n">
        <f aca="false">IF($C$29="","",$C$29*SQRT(2*J42/$C$7))</f>
        <v>0.270218058894573</v>
      </c>
    </row>
    <row r="43" customFormat="false" ht="15" hidden="false" customHeight="false" outlineLevel="0" collapsed="false">
      <c r="A43" s="5"/>
      <c r="B43" s="7" t="str">
        <f aca="false">IF(OR(A43="",$C$29=""),"",$C$29*SQRT(2*A43/$C$7))</f>
        <v/>
      </c>
      <c r="C43" s="7" t="str">
        <f aca="false">IF(OR(A43="",$C$25="",$C$12="",$C$12=0),"",$C$25*SQRT(A43/$C$12))</f>
        <v/>
      </c>
      <c r="D43" s="5"/>
      <c r="E43" s="5"/>
      <c r="F43" s="5"/>
      <c r="G43" s="7" t="str">
        <f aca="false">IF(OR(B43="",D43="",B43=0),"",(D43-B43)/B43*100)</f>
        <v/>
      </c>
      <c r="H43" s="7" t="str">
        <f aca="false">IF(G43="","",ABS(G43))</f>
        <v/>
      </c>
      <c r="J43" s="7" t="n">
        <v>0.35</v>
      </c>
      <c r="K43" s="7" t="n">
        <f aca="false">IF($C$29="","",$C$29*SQRT(2*J43/$C$7))</f>
        <v>0.291868861953805</v>
      </c>
    </row>
    <row r="44" customFormat="false" ht="15" hidden="false" customHeight="false" outlineLevel="0" collapsed="false">
      <c r="A44" s="5"/>
      <c r="B44" s="7" t="str">
        <f aca="false">IF(OR(A44="",$C$29=""),"",$C$29*SQRT(2*A44/$C$7))</f>
        <v/>
      </c>
      <c r="C44" s="7" t="str">
        <f aca="false">IF(OR(A44="",$C$25="",$C$12="",$C$12=0),"",$C$25*SQRT(A44/$C$12))</f>
        <v/>
      </c>
      <c r="D44" s="5"/>
      <c r="E44" s="5"/>
      <c r="F44" s="5"/>
      <c r="G44" s="7" t="str">
        <f aca="false">IF(OR(B44="",D44="",B44=0),"",(D44-B44)/B44*100)</f>
        <v/>
      </c>
      <c r="H44" s="7" t="str">
        <f aca="false">IF(G44="","",ABS(G44))</f>
        <v/>
      </c>
      <c r="J44" s="7" t="n">
        <v>0.4</v>
      </c>
      <c r="K44" s="7" t="n">
        <f aca="false">IF($C$29="","",$C$29*SQRT(2*J44/$C$7))</f>
        <v>0.312020938085359</v>
      </c>
    </row>
    <row r="45" customFormat="false" ht="15" hidden="false" customHeight="false" outlineLevel="0" collapsed="false">
      <c r="A45" s="5"/>
      <c r="B45" s="7" t="str">
        <f aca="false">IF(OR(A45="",$C$29=""),"",$C$29*SQRT(2*A45/$C$7))</f>
        <v/>
      </c>
      <c r="C45" s="7" t="str">
        <f aca="false">IF(OR(A45="",$C$25="",$C$12="",$C$12=0),"",$C$25*SQRT(A45/$C$12))</f>
        <v/>
      </c>
      <c r="D45" s="5"/>
      <c r="E45" s="5"/>
      <c r="F45" s="5"/>
      <c r="G45" s="7" t="str">
        <f aca="false">IF(OR(B45="",D45="",B45=0),"",(D45-B45)/B45*100)</f>
        <v/>
      </c>
      <c r="H45" s="7" t="str">
        <f aca="false">IF(G45="","",ABS(G45))</f>
        <v/>
      </c>
      <c r="J45" s="7" t="n">
        <v>0.45</v>
      </c>
      <c r="K45" s="7" t="n">
        <f aca="false">IF($C$29="","",$C$29*SQRT(2*J45/$C$7))</f>
        <v>0.330948181788518</v>
      </c>
    </row>
    <row r="46" customFormat="false" ht="15" hidden="false" customHeight="false" outlineLevel="0" collapsed="false">
      <c r="J46" s="7" t="n">
        <v>0.5</v>
      </c>
      <c r="K46" s="7" t="n">
        <f aca="false">IF($C$29="","",$C$29*SQRT(2*J46/$C$7))</f>
        <v>0.348850013981058</v>
      </c>
    </row>
    <row r="47" customFormat="false" ht="15" hidden="false" customHeight="false" outlineLevel="0" collapsed="false">
      <c r="A47" s="6" t="s">
        <v>35</v>
      </c>
      <c r="J47" s="7" t="n">
        <v>0.55</v>
      </c>
      <c r="K47" s="7" t="n">
        <f aca="false">IF($C$29="","",$C$29*SQRT(2*J47/$C$7))</f>
        <v>0.365876981347615</v>
      </c>
    </row>
    <row r="48" customFormat="false" ht="15" hidden="false" customHeight="false" outlineLevel="0" collapsed="false">
      <c r="A48" s="6" t="s">
        <v>36</v>
      </c>
      <c r="J48" s="7" t="n">
        <v>0.6</v>
      </c>
      <c r="K48" s="7" t="n">
        <f aca="false">IF($C$29="","",$C$29*SQRT(2*J48/$C$7))</f>
        <v>0.382146043686837</v>
      </c>
    </row>
    <row r="49" customFormat="false" ht="15" hidden="false" customHeight="false" outlineLevel="0" collapsed="false">
      <c r="J49" s="7" t="n">
        <v>0.65</v>
      </c>
      <c r="K49" s="7" t="n">
        <f aca="false">IF($C$29="","",$C$29*SQRT(2*J49/$C$7))</f>
        <v>0.397750212986693</v>
      </c>
    </row>
    <row r="50" customFormat="false" ht="15" hidden="false" customHeight="false" outlineLevel="0" collapsed="false">
      <c r="J50" s="7" t="n">
        <v>0.7</v>
      </c>
      <c r="K50" s="7" t="n">
        <f aca="false">IF($C$29="","",$C$29*SQRT(2*J50/$C$7))</f>
        <v>0.412764903009472</v>
      </c>
    </row>
    <row r="51" customFormat="false" ht="15" hidden="false" customHeight="false" outlineLevel="0" collapsed="false">
      <c r="J51" s="7" t="n">
        <v>0.75</v>
      </c>
      <c r="K51" s="7" t="n">
        <f aca="false">IF($C$29="","",$C$29*SQRT(2*J51/$C$7))</f>
        <v>0.427252265508185</v>
      </c>
    </row>
    <row r="52" customFormat="false" ht="15" hidden="false" customHeight="false" outlineLevel="0" collapsed="false">
      <c r="J52" s="7" t="n">
        <v>0.8</v>
      </c>
      <c r="K52" s="7" t="n">
        <f aca="false">IF($C$29="","",$C$29*SQRT(2*J52/$C$7))</f>
        <v>0.441264242384691</v>
      </c>
    </row>
    <row r="53" customFormat="false" ht="15" hidden="false" customHeight="false" outlineLevel="0" collapsed="false">
      <c r="J53" s="7" t="n">
        <v>0.85</v>
      </c>
      <c r="K53" s="7" t="n">
        <f aca="false">IF($C$29="","",$C$29*SQRT(2*J53/$C$7))</f>
        <v>0.454844770040059</v>
      </c>
    </row>
    <row r="54" customFormat="false" ht="15" hidden="false" customHeight="false" outlineLevel="0" collapsed="false">
      <c r="J54" s="7" t="n">
        <v>0.9</v>
      </c>
      <c r="K54" s="7" t="n">
        <f aca="false">IF($C$29="","",$C$29*SQRT(2*J54/$C$7))</f>
        <v>0.468031407128039</v>
      </c>
    </row>
    <row r="55" customFormat="false" ht="15" hidden="false" customHeight="false" outlineLevel="0" collapsed="false">
      <c r="J55" s="7" t="n">
        <v>0.95</v>
      </c>
      <c r="K55" s="7" t="n">
        <f aca="false">IF($C$29="","",$C$29*SQRT(2*J55/$C$7))</f>
        <v>0.480856559988226</v>
      </c>
    </row>
    <row r="56" customFormat="false" ht="15" hidden="false" customHeight="false" outlineLevel="0" collapsed="false">
      <c r="J56" s="7" t="n">
        <v>1</v>
      </c>
      <c r="K56" s="7" t="n">
        <f aca="false">IF($C$29="","",$C$29*SQRT(2*J56/$C$7))</f>
        <v>0.493348421006057</v>
      </c>
    </row>
    <row r="57" customFormat="false" ht="15" hidden="false" customHeight="false" outlineLevel="0" collapsed="false">
      <c r="J57" s="7" t="n">
        <v>1.05</v>
      </c>
      <c r="K57" s="7" t="n">
        <f aca="false">IF($C$29="","",$C$29*SQRT(2*J57/$C$7))</f>
        <v>0.505531698051297</v>
      </c>
    </row>
    <row r="58" customFormat="false" ht="15" hidden="false" customHeight="false" outlineLevel="0" collapsed="false">
      <c r="J58" s="7" t="n">
        <v>1.1</v>
      </c>
      <c r="K58" s="7" t="n">
        <f aca="false">IF($C$29="","",$C$29*SQRT(2*J58/$C$7))</f>
        <v>0.517428189181925</v>
      </c>
    </row>
    <row r="59" customFormat="false" ht="15" hidden="false" customHeight="false" outlineLevel="0" collapsed="false">
      <c r="J59" s="7" t="n">
        <v>1.15</v>
      </c>
      <c r="K59" s="7" t="n">
        <f aca="false">IF($C$29="","",$C$29*SQRT(2*J59/$C$7))</f>
        <v>0.529057240934802</v>
      </c>
    </row>
    <row r="60" customFormat="false" ht="15" hidden="false" customHeight="false" outlineLevel="0" collapsed="false">
      <c r="J60" s="7" t="n">
        <v>1.2</v>
      </c>
      <c r="K60" s="7" t="n">
        <f aca="false">IF($C$29="","",$C$29*SQRT(2*J60/$C$7))</f>
        <v>0.540436117789146</v>
      </c>
    </row>
    <row r="61" customFormat="false" ht="15" hidden="false" customHeight="false" outlineLevel="0" collapsed="false">
      <c r="J61" s="7" t="n">
        <v>1.25</v>
      </c>
      <c r="K61" s="7" t="n">
        <f aca="false">IF($C$29="","",$C$29*SQRT(2*J61/$C$7))</f>
        <v>0.551580302980864</v>
      </c>
    </row>
    <row r="62" customFormat="false" ht="15" hidden="false" customHeight="false" outlineLevel="0" collapsed="false">
      <c r="J62" s="7" t="n">
        <v>1.3</v>
      </c>
      <c r="K62" s="7" t="n">
        <f aca="false">IF($C$29="","",$C$29*SQRT(2*J62/$C$7))</f>
        <v>0.562503745642569</v>
      </c>
    </row>
    <row r="63" customFormat="false" ht="15" hidden="false" customHeight="false" outlineLevel="0" collapsed="false">
      <c r="J63" s="7" t="n">
        <v>1.35</v>
      </c>
      <c r="K63" s="7" t="n">
        <f aca="false">IF($C$29="","",$C$29*SQRT(2*J63/$C$7))</f>
        <v>0.573219065530255</v>
      </c>
    </row>
    <row r="64" customFormat="false" ht="15" hidden="false" customHeight="false" outlineLevel="0" collapsed="false">
      <c r="J64" s="7" t="n">
        <v>1.4</v>
      </c>
      <c r="K64" s="7" t="n">
        <f aca="false">IF($C$29="","",$C$29*SQRT(2*J64/$C$7))</f>
        <v>0.58373772390761</v>
      </c>
    </row>
    <row r="65" customFormat="false" ht="15" hidden="false" customHeight="false" outlineLevel="0" collapsed="false">
      <c r="J65" s="7" t="n">
        <v>1.45</v>
      </c>
      <c r="K65" s="7" t="n">
        <f aca="false">IF($C$29="","",$C$29*SQRT(2*J65/$C$7))</f>
        <v>0.594070167184227</v>
      </c>
    </row>
    <row r="66" customFormat="false" ht="15" hidden="false" customHeight="false" outlineLevel="0" collapsed="false">
      <c r="J66" s="7" t="n">
        <v>1.5</v>
      </c>
      <c r="K66" s="7" t="n">
        <f aca="false">IF($C$29="","",$C$29*SQRT(2*J66/$C$7))</f>
        <v>0.604225948436306</v>
      </c>
    </row>
    <row r="67" customFormat="false" ht="15" hidden="false" customHeight="false" outlineLevel="0" collapsed="false">
      <c r="J67" s="7" t="n">
        <v>1.55</v>
      </c>
      <c r="K67" s="7" t="n">
        <f aca="false">IF($C$29="","",$C$29*SQRT(2*J67/$C$7))</f>
        <v>0.614213830835168</v>
      </c>
    </row>
    <row r="68" customFormat="false" ht="15" hidden="false" customHeight="false" outlineLevel="0" collapsed="false">
      <c r="J68" s="7" t="n">
        <v>1.6</v>
      </c>
      <c r="K68" s="7" t="n">
        <f aca="false">IF($C$29="","",$C$29*SQRT(2*J68/$C$7))</f>
        <v>0.624041876170719</v>
      </c>
    </row>
    <row r="69" customFormat="false" ht="15" hidden="false" customHeight="false" outlineLevel="0" collapsed="false">
      <c r="J69" s="7" t="n">
        <v>1.65</v>
      </c>
      <c r="K69" s="7" t="n">
        <f aca="false">IF($C$29="","",$C$29*SQRT(2*J69/$C$7))</f>
        <v>0.633717521014</v>
      </c>
    </row>
    <row r="70" customFormat="false" ht="15" hidden="false" customHeight="false" outlineLevel="0" collapsed="false">
      <c r="J70" s="7" t="n">
        <v>1.7</v>
      </c>
      <c r="K70" s="7" t="n">
        <f aca="false">IF($C$29="","",$C$29*SQRT(2*J70/$C$7))</f>
        <v>0.643247642565123</v>
      </c>
    </row>
    <row r="71" customFormat="false" ht="15" hidden="false" customHeight="false" outlineLevel="0" collapsed="false">
      <c r="J71" s="7" t="n">
        <v>1.75</v>
      </c>
      <c r="K71" s="7" t="n">
        <f aca="false">IF($C$29="","",$C$29*SQRT(2*J71/$C$7))</f>
        <v>0.65263861584421</v>
      </c>
    </row>
    <row r="72" customFormat="false" ht="15" hidden="false" customHeight="false" outlineLevel="0" collapsed="false">
      <c r="J72" s="7" t="n">
        <v>1.8</v>
      </c>
      <c r="K72" s="7" t="n">
        <f aca="false">IF($C$29="","",$C$29*SQRT(2*J72/$C$7))</f>
        <v>0.661896363577037</v>
      </c>
    </row>
    <row r="73" customFormat="false" ht="15" hidden="false" customHeight="false" outlineLevel="0" collapsed="false">
      <c r="J73" s="7" t="n">
        <v>1.85</v>
      </c>
      <c r="K73" s="7" t="n">
        <f aca="false">IF($C$29="","",$C$29*SQRT(2*J73/$C$7))</f>
        <v>0.671026399884508</v>
      </c>
    </row>
    <row r="74" customFormat="false" ht="15" hidden="false" customHeight="false" outlineLevel="0" collapsed="false">
      <c r="J74" s="7" t="n">
        <v>1.9</v>
      </c>
      <c r="K74" s="7" t="n">
        <f aca="false">IF($C$29="","",$C$29*SQRT(2*J74/$C$7))</f>
        <v>0.680033868691422</v>
      </c>
    </row>
    <row r="75" customFormat="false" ht="15" hidden="false" customHeight="false" outlineLevel="0" collapsed="false">
      <c r="J75" s="7" t="n">
        <v>1.95</v>
      </c>
      <c r="K75" s="7" t="n">
        <f aca="false">IF($C$29="","",$C$29*SQRT(2*J75/$C$7))</f>
        <v>0.688923577614296</v>
      </c>
    </row>
    <row r="76" customFormat="false" ht="15" hidden="false" customHeight="false" outlineLevel="0" collapsed="false">
      <c r="J76" s="7" t="n">
        <v>2</v>
      </c>
      <c r="K76" s="7" t="n">
        <f aca="false">IF($C$29="","",$C$29*SQRT(2*J76/$C$7))</f>
        <v>0.697700027962117</v>
      </c>
    </row>
    <row r="78" customFormat="false" ht="15" hidden="false" customHeight="false" outlineLevel="0" collapsed="false">
      <c r="J78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2026-09-24T14:03:44Z</dcterms:created>
  <dc:creator>openpyxl</dc:creator>
  <dc:description/>
  <dc:language>en-US</dc:language>
  <cp:lastModifiedBy/>
  <dcterms:modified xsi:type="dcterms:W3CDTF">2026-09-24T14:03:44Z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