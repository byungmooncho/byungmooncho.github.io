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b 4 Analysis" sheetId="2" state="visible" r:id="rId2"/>
    <sheet xmlns:r="http://schemas.openxmlformats.org/officeDocument/2006/relationships" name="Worked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"/>
    <numFmt numFmtId="167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134A29"/>
      <sz val="14"/>
    </font>
    <font>
      <name val="Calibri"/>
      <i val="1"/>
      <color rgb="005C6B62"/>
      <sz val="10"/>
    </font>
    <font>
      <name val="Calibri"/>
      <b val="1"/>
      <color rgb="00134A29"/>
      <sz val="11"/>
    </font>
  </fonts>
  <fills count="4">
    <fill>
      <patternFill/>
    </fill>
    <fill>
      <patternFill patternType="gray125"/>
    </fill>
    <fill>
      <patternFill patternType="solid">
        <fgColor rgb="00EAF3ED"/>
      </patternFill>
    </fill>
    <fill>
      <patternFill patternType="solid">
        <fgColor rgb="00FFF6DF"/>
      </patternFill>
    </fill>
  </fills>
  <borders count="2">
    <border>
      <left/>
      <right/>
      <top/>
      <bottom/>
      <diagonal/>
    </border>
    <border>
      <left style="thin">
        <color rgb="00D7E2DA"/>
      </left>
      <right style="thin">
        <color rgb="00D7E2DA"/>
      </right>
      <top style="thin">
        <color rgb="00D7E2DA"/>
      </top>
      <bottom style="thin">
        <color rgb="00D7E2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0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Lab 4 — Newton's Second Law · raw position-vs-time data</t>
        </is>
      </c>
    </row>
    <row r="2" ht="46" customHeight="1">
      <c r="A2" s="2" t="inlineStr">
        <is>
          <t>The same five runs as the Graphical Analysis files. Position is measured by the ultrasonic sensor at the end of the track; each run is 50 samples at 0.05 s. Each run has a flat stretch before release and nonsense after the motion ends — fit only the accelerating part in between.</t>
        </is>
      </c>
    </row>
    <row r="4">
      <c r="A4" s="3" t="inlineStr">
        <is>
          <t>Time (s)</t>
        </is>
      </c>
      <c r="B4" s="3" t="inlineStr">
        <is>
          <t>100 g hanging — position (m)</t>
        </is>
      </c>
      <c r="C4" s="3" t="inlineStr">
        <is>
          <t>200 g hanging — position (m)</t>
        </is>
      </c>
      <c r="D4" s="3" t="inlineStr">
        <is>
          <t>300 g hanging — position (m)</t>
        </is>
      </c>
      <c r="E4" s="3" t="inlineStr">
        <is>
          <t>400 g hanging — position (m)</t>
        </is>
      </c>
      <c r="F4" s="3" t="inlineStr">
        <is>
          <t>500 g hanging — position (m)</t>
        </is>
      </c>
    </row>
    <row r="5">
      <c r="A5" s="4" t="n">
        <v>0.05</v>
      </c>
      <c r="B5" s="4" t="n">
        <v>0.156431</v>
      </c>
      <c r="C5" s="4" t="n">
        <v>0.157125</v>
      </c>
      <c r="D5" s="4" t="n">
        <v>0.157019</v>
      </c>
      <c r="E5" s="4" t="n">
        <v>0.157955</v>
      </c>
      <c r="F5" s="4" t="n">
        <v>0.157298</v>
      </c>
    </row>
    <row r="6">
      <c r="A6" s="4" t="n">
        <v>0.1</v>
      </c>
      <c r="B6" s="4" t="n">
        <v>0.157001</v>
      </c>
      <c r="C6" s="4" t="n">
        <v>0.157211</v>
      </c>
      <c r="D6" s="4" t="n">
        <v>0.156984</v>
      </c>
      <c r="E6" s="4" t="n">
        <v>0.157124</v>
      </c>
      <c r="F6" s="4" t="n">
        <v>0.156917</v>
      </c>
    </row>
    <row r="7">
      <c r="A7" s="4" t="n">
        <v>0.15</v>
      </c>
      <c r="B7" s="4" t="n">
        <v>0.157088</v>
      </c>
      <c r="C7" s="4" t="n">
        <v>0.157194</v>
      </c>
      <c r="D7" s="4" t="n">
        <v>0.156915</v>
      </c>
      <c r="E7" s="4" t="n">
        <v>0.159373</v>
      </c>
      <c r="F7" s="4" t="n">
        <v>0.156831</v>
      </c>
    </row>
    <row r="8">
      <c r="A8" s="4" t="n">
        <v>0.2</v>
      </c>
      <c r="B8" s="4" t="n">
        <v>0.155342</v>
      </c>
      <c r="C8" s="4" t="n">
        <v>0.157125</v>
      </c>
      <c r="D8" s="4" t="n">
        <v>0.155843</v>
      </c>
      <c r="E8" s="4" t="n">
        <v>0.157885</v>
      </c>
      <c r="F8" s="4" t="n">
        <v>0.156986</v>
      </c>
    </row>
    <row r="9">
      <c r="A9" s="4" t="n">
        <v>0.25</v>
      </c>
      <c r="B9" s="4" t="n">
        <v>0.156949</v>
      </c>
      <c r="C9" s="4" t="n">
        <v>0.156485</v>
      </c>
      <c r="D9" s="4" t="n">
        <v>0.156932</v>
      </c>
      <c r="E9" s="4" t="n">
        <v>0.160134</v>
      </c>
      <c r="F9" s="4" t="n">
        <v>0.170724</v>
      </c>
    </row>
    <row r="10">
      <c r="A10" s="4" t="n">
        <v>0.3</v>
      </c>
      <c r="B10" s="4" t="n">
        <v>0.164936</v>
      </c>
      <c r="C10" s="4" t="n">
        <v>0.155775</v>
      </c>
      <c r="D10" s="4" t="n">
        <v>0.155169</v>
      </c>
      <c r="E10" s="4" t="n">
        <v>0.166448</v>
      </c>
      <c r="F10" s="4" t="n">
        <v>0.211954</v>
      </c>
    </row>
    <row r="11">
      <c r="A11" s="4" t="n">
        <v>0.35</v>
      </c>
      <c r="B11" s="4" t="n">
        <v>0.181377</v>
      </c>
      <c r="C11" s="4" t="n">
        <v>0.155429</v>
      </c>
      <c r="D11" s="4" t="n">
        <v>0.156241</v>
      </c>
      <c r="E11" s="4" t="n">
        <v>0.157868</v>
      </c>
      <c r="F11" s="4" t="n">
        <v>0.265139</v>
      </c>
    </row>
    <row r="12">
      <c r="A12" s="4" t="n">
        <v>0.4</v>
      </c>
      <c r="B12" s="4" t="n">
        <v>0.199407</v>
      </c>
      <c r="C12" s="4" t="n">
        <v>0.156346</v>
      </c>
      <c r="D12" s="4" t="n">
        <v>0.157001</v>
      </c>
      <c r="E12" s="4" t="n">
        <v>0.160169</v>
      </c>
      <c r="F12" s="4" t="n">
        <v>0.323964</v>
      </c>
    </row>
    <row r="13">
      <c r="A13" s="4" t="n">
        <v>0.45</v>
      </c>
      <c r="B13" s="4" t="n">
        <v>0.218804</v>
      </c>
      <c r="C13" s="4" t="n">
        <v>0.156415</v>
      </c>
      <c r="D13" s="4" t="n">
        <v>0.157019</v>
      </c>
      <c r="E13" s="4" t="n">
        <v>0.156484</v>
      </c>
      <c r="F13" s="4" t="n">
        <v>0.390316</v>
      </c>
    </row>
    <row r="14">
      <c r="A14" s="4" t="n">
        <v>0.5</v>
      </c>
      <c r="B14" s="4" t="n">
        <v>0.239843</v>
      </c>
      <c r="C14" s="4" t="n">
        <v>0.155775</v>
      </c>
      <c r="D14" s="4" t="n">
        <v>0.155152</v>
      </c>
      <c r="E14" s="4" t="n">
        <v>0.157055</v>
      </c>
      <c r="F14" s="4" t="n">
        <v>0.464246</v>
      </c>
    </row>
    <row r="15">
      <c r="A15" s="4" t="n">
        <v>0.55</v>
      </c>
      <c r="B15" s="4" t="n">
        <v>0.261781</v>
      </c>
      <c r="C15" s="4" t="n">
        <v>0.157038</v>
      </c>
      <c r="D15" s="4" t="n">
        <v>0.156569</v>
      </c>
      <c r="E15" s="4" t="n">
        <v>0.157055</v>
      </c>
      <c r="F15" s="4" t="n">
        <v>0.546913</v>
      </c>
    </row>
    <row r="16">
      <c r="A16" s="4" t="n">
        <v>0.6</v>
      </c>
      <c r="B16" s="4" t="n">
        <v>0.28562</v>
      </c>
      <c r="C16" s="4" t="n">
        <v>0.158267</v>
      </c>
      <c r="D16" s="4" t="n">
        <v>0.155255</v>
      </c>
      <c r="E16" s="4" t="n">
        <v>0.162314</v>
      </c>
      <c r="F16" s="4" t="n">
        <v>0.642815</v>
      </c>
    </row>
    <row r="17">
      <c r="A17" s="4" t="n">
        <v>0.65</v>
      </c>
      <c r="B17" s="4" t="n">
        <v>0.310998</v>
      </c>
      <c r="C17" s="4" t="n">
        <v>0.17126</v>
      </c>
      <c r="D17" s="4" t="n">
        <v>0.155065</v>
      </c>
      <c r="E17" s="4" t="n">
        <v>0.196618</v>
      </c>
      <c r="F17" s="4" t="n">
        <v>0.743476</v>
      </c>
    </row>
    <row r="18">
      <c r="A18" s="4" t="n">
        <v>0.7</v>
      </c>
      <c r="B18" s="4" t="n">
        <v>0.33788</v>
      </c>
      <c r="C18" s="4" t="n">
        <v>0.189773</v>
      </c>
      <c r="D18" s="4" t="n">
        <v>0.173632</v>
      </c>
      <c r="E18" s="4" t="n">
        <v>0.241441</v>
      </c>
      <c r="F18" s="4" t="n">
        <v>0.845469</v>
      </c>
    </row>
    <row r="19">
      <c r="A19" s="4" t="n">
        <v>0.75</v>
      </c>
      <c r="B19" s="4" t="n">
        <v>0.367891</v>
      </c>
      <c r="C19" s="4" t="n">
        <v>0.211071</v>
      </c>
      <c r="D19" s="4" t="n">
        <v>0.200773</v>
      </c>
      <c r="E19" s="4" t="n">
        <v>0.289826</v>
      </c>
      <c r="F19" s="4" t="n">
        <v>0.954608</v>
      </c>
    </row>
    <row r="20">
      <c r="A20" s="4" t="n">
        <v>0.8</v>
      </c>
      <c r="B20" s="4" t="n">
        <v>0.397764</v>
      </c>
      <c r="C20" s="4" t="n">
        <v>0.235916</v>
      </c>
      <c r="D20" s="4" t="n">
        <v>0.233049</v>
      </c>
      <c r="E20" s="4" t="n">
        <v>0.344423</v>
      </c>
      <c r="F20" s="4" t="n">
        <v>1.075234</v>
      </c>
    </row>
    <row r="21">
      <c r="A21" s="4" t="n">
        <v>0.85</v>
      </c>
      <c r="B21" s="4" t="n">
        <v>0.429123</v>
      </c>
      <c r="C21" s="4" t="n">
        <v>0.263478</v>
      </c>
      <c r="D21" s="4" t="n">
        <v>0.269543</v>
      </c>
      <c r="E21" s="4" t="n">
        <v>0.40606</v>
      </c>
      <c r="F21" s="4" t="n">
        <v>1.203093</v>
      </c>
    </row>
    <row r="22">
      <c r="A22" s="4" t="n">
        <v>0.9</v>
      </c>
      <c r="B22" s="4" t="n">
        <v>0.461157</v>
      </c>
      <c r="C22" s="4" t="n">
        <v>0.294292</v>
      </c>
      <c r="D22" s="4" t="n">
        <v>0.311534</v>
      </c>
      <c r="E22" s="4" t="n">
        <v>0.472939</v>
      </c>
      <c r="F22" s="4" t="n">
        <v>1.339551</v>
      </c>
    </row>
    <row r="23">
      <c r="A23" s="4" t="n">
        <v>0.95</v>
      </c>
      <c r="B23" s="4" t="n">
        <v>0.495369</v>
      </c>
      <c r="C23" s="4" t="n">
        <v>0.327615</v>
      </c>
      <c r="D23" s="4" t="n">
        <v>0.35719</v>
      </c>
      <c r="E23" s="4" t="n">
        <v>0.546166</v>
      </c>
      <c r="F23" s="4" t="n">
        <v>1.481147</v>
      </c>
    </row>
    <row r="24">
      <c r="A24" s="4" t="n">
        <v>1</v>
      </c>
      <c r="B24" s="4" t="n">
        <v>0.531448</v>
      </c>
      <c r="C24" s="4" t="n">
        <v>0.36599</v>
      </c>
      <c r="D24" s="4" t="n">
        <v>0.407255</v>
      </c>
      <c r="E24" s="4" t="n">
        <v>0.628597</v>
      </c>
      <c r="F24" s="4" t="n">
        <v>1.623418</v>
      </c>
    </row>
    <row r="25">
      <c r="A25" s="4" t="n">
        <v>1.05</v>
      </c>
      <c r="B25" s="4" t="n">
        <v>0.569221</v>
      </c>
      <c r="C25" s="4" t="n">
        <v>0.405714</v>
      </c>
      <c r="D25" s="4" t="n">
        <v>0.460967</v>
      </c>
      <c r="E25" s="4" t="n">
        <v>0.724521</v>
      </c>
      <c r="F25" s="4" t="n">
        <v>1.765984</v>
      </c>
    </row>
    <row r="26">
      <c r="A26" s="4" t="n">
        <v>1.1</v>
      </c>
      <c r="B26" s="4" t="n">
        <v>0.610918</v>
      </c>
      <c r="C26" s="4" t="n">
        <v>0.445923</v>
      </c>
      <c r="D26" s="4" t="n">
        <v>0.519468</v>
      </c>
      <c r="E26" s="4" t="n">
        <v>0.812574</v>
      </c>
      <c r="F26" s="4" t="n">
        <v>1.816608</v>
      </c>
    </row>
    <row r="27">
      <c r="A27" s="4" t="n">
        <v>1.15</v>
      </c>
      <c r="B27" s="4" t="n">
        <v>0.6539469999999999</v>
      </c>
      <c r="C27" s="4" t="n">
        <v>0.493883</v>
      </c>
      <c r="D27" s="4" t="n">
        <v>0.585834</v>
      </c>
      <c r="E27" s="4" t="n">
        <v>0.907114</v>
      </c>
      <c r="F27" s="4" t="n">
        <v>1.926335</v>
      </c>
    </row>
    <row r="28">
      <c r="A28" s="4" t="n">
        <v>1.2</v>
      </c>
      <c r="B28" s="4" t="n">
        <v>0.703285</v>
      </c>
      <c r="C28" s="4" t="n">
        <v>0.543089</v>
      </c>
      <c r="D28" s="4" t="n">
        <v>0.658044</v>
      </c>
      <c r="E28" s="4" t="n">
        <v>1.007242</v>
      </c>
      <c r="F28" s="4" t="n">
        <v>1.878617</v>
      </c>
    </row>
    <row r="29">
      <c r="A29" s="4" t="n">
        <v>1.25</v>
      </c>
      <c r="B29" s="4" t="n">
        <v>0.74258</v>
      </c>
      <c r="C29" s="4" t="n">
        <v>0.597572</v>
      </c>
      <c r="D29" s="4" t="n">
        <v>0.737532</v>
      </c>
      <c r="E29" s="4" t="n">
        <v>1.117386</v>
      </c>
      <c r="F29" s="4" t="n">
        <v>1.934173</v>
      </c>
    </row>
    <row r="30">
      <c r="A30" s="4" t="n">
        <v>1.3</v>
      </c>
      <c r="B30" s="4" t="n">
        <v>0.786334</v>
      </c>
      <c r="C30" s="4" t="n">
        <v>0.65856</v>
      </c>
      <c r="D30" s="4" t="n">
        <v>0.811021</v>
      </c>
      <c r="E30" s="4" t="n">
        <v>1.218898</v>
      </c>
      <c r="F30" s="4" t="n">
        <v>1.972219</v>
      </c>
    </row>
    <row r="31">
      <c r="A31" s="4" t="n">
        <v>1.35</v>
      </c>
      <c r="B31" s="4" t="n">
        <v>0.82983</v>
      </c>
      <c r="C31" s="4" t="n">
        <v>0.7237</v>
      </c>
      <c r="D31" s="4" t="n">
        <v>0.889368</v>
      </c>
      <c r="E31" s="4" t="n">
        <v>1.221199</v>
      </c>
      <c r="F31" s="4" t="n">
        <v>1.97189</v>
      </c>
    </row>
    <row r="32">
      <c r="A32" s="4" t="n">
        <v>1.4</v>
      </c>
      <c r="B32" s="4" t="n">
        <v>0.877093</v>
      </c>
      <c r="C32" s="4" t="n">
        <v>0.774498</v>
      </c>
      <c r="D32" s="4" t="n">
        <v>0.971846</v>
      </c>
      <c r="E32" s="4" t="n">
        <v>1.217964</v>
      </c>
      <c r="F32" s="4" t="n">
        <v>1.97843</v>
      </c>
    </row>
    <row r="33">
      <c r="A33" s="4" t="n">
        <v>1.45</v>
      </c>
      <c r="B33" s="4" t="n">
        <v>0.925343</v>
      </c>
      <c r="C33" s="4" t="n">
        <v>0.838289</v>
      </c>
      <c r="D33" s="4" t="n">
        <v>1.062778</v>
      </c>
      <c r="E33" s="4" t="n">
        <v>1.218119</v>
      </c>
      <c r="F33" s="4" t="n">
        <v>1.971406</v>
      </c>
    </row>
    <row r="34">
      <c r="A34" s="4" t="n">
        <v>1.5</v>
      </c>
      <c r="B34" s="4" t="n">
        <v>0.973488</v>
      </c>
      <c r="C34" s="4" t="n">
        <v>0.904139</v>
      </c>
      <c r="D34" s="4" t="n">
        <v>1.158257</v>
      </c>
      <c r="E34" s="4" t="n">
        <v>1.220818</v>
      </c>
      <c r="F34" s="4" t="n">
        <v>1.986372</v>
      </c>
    </row>
    <row r="35">
      <c r="A35" s="4" t="n">
        <v>1.55</v>
      </c>
      <c r="B35" s="4" t="n">
        <v>1.025645</v>
      </c>
      <c r="C35" s="4" t="n">
        <v>0.9704390000000001</v>
      </c>
      <c r="D35" s="4" t="n">
        <v>1.257988</v>
      </c>
      <c r="E35" s="4" t="n">
        <v>1.217514</v>
      </c>
      <c r="F35" s="4" t="n">
        <v>1.953914</v>
      </c>
    </row>
    <row r="36">
      <c r="A36" s="4" t="n">
        <v>1.6</v>
      </c>
      <c r="B36" s="4" t="n">
        <v>1.079167</v>
      </c>
      <c r="C36" s="4" t="n">
        <v>1.043451</v>
      </c>
      <c r="D36" s="4" t="n">
        <v>1.362785</v>
      </c>
      <c r="E36" s="4" t="n">
        <v>1.213224</v>
      </c>
      <c r="F36" s="4" t="n">
        <v>1.613799</v>
      </c>
    </row>
    <row r="37">
      <c r="A37" s="4" t="n">
        <v>1.65</v>
      </c>
      <c r="B37" s="4" t="n">
        <v>1.134417</v>
      </c>
      <c r="C37" s="4" t="n">
        <v>1.119232</v>
      </c>
      <c r="D37" s="4" t="n">
        <v>1.471004</v>
      </c>
      <c r="E37" s="4" t="n">
        <v>1.213518</v>
      </c>
      <c r="F37" s="4" t="n">
        <v>1.960679</v>
      </c>
    </row>
    <row r="38">
      <c r="A38" s="4" t="n">
        <v>1.7</v>
      </c>
      <c r="B38" s="4" t="n">
        <v>1.19112</v>
      </c>
      <c r="C38" s="4" t="n">
        <v>1.197488</v>
      </c>
      <c r="D38" s="4" t="n">
        <v>1.580745</v>
      </c>
      <c r="E38" s="4" t="n">
        <v>1.213414</v>
      </c>
      <c r="F38" s="4" t="n">
        <v>1.618661</v>
      </c>
    </row>
    <row r="39">
      <c r="A39" s="4" t="n">
        <v>1.75</v>
      </c>
      <c r="B39" s="4" t="n">
        <v>1.235186</v>
      </c>
      <c r="C39" s="4" t="n">
        <v>1.262074</v>
      </c>
      <c r="D39" s="4" t="n">
        <v>1.689985</v>
      </c>
      <c r="E39" s="4" t="n">
        <v>1.213829</v>
      </c>
      <c r="F39" s="4" t="n">
        <v>1.599767</v>
      </c>
    </row>
    <row r="40">
      <c r="A40" s="4" t="n">
        <v>1.8</v>
      </c>
      <c r="B40" s="4" t="n">
        <v>1.297283</v>
      </c>
      <c r="C40" s="4" t="n">
        <v>1.35097</v>
      </c>
      <c r="D40" s="4" t="n">
        <v>1.798844</v>
      </c>
      <c r="E40" s="4" t="n">
        <v>1.213397</v>
      </c>
      <c r="F40" s="4" t="n">
        <v>1.607017</v>
      </c>
    </row>
    <row r="41">
      <c r="A41" s="4" t="n">
        <v>1.85</v>
      </c>
      <c r="B41" s="4" t="n">
        <v>1.359414</v>
      </c>
      <c r="C41" s="4" t="n">
        <v>1.442392</v>
      </c>
      <c r="D41" s="4" t="n">
        <v>1.94475</v>
      </c>
      <c r="E41" s="4" t="n">
        <v>1.213328</v>
      </c>
      <c r="F41" s="4" t="n">
        <v>1.953395</v>
      </c>
    </row>
    <row r="42">
      <c r="A42" s="4" t="n">
        <v>1.9</v>
      </c>
      <c r="B42" s="4" t="n">
        <v>1.425245</v>
      </c>
      <c r="C42" s="4" t="n">
        <v>1.538848</v>
      </c>
      <c r="D42" s="4" t="n">
        <v>1.961242</v>
      </c>
      <c r="E42" s="4" t="n">
        <v>1.216303</v>
      </c>
      <c r="F42" s="4" t="n">
        <v>1.594646</v>
      </c>
    </row>
    <row r="43">
      <c r="A43" s="4" t="n">
        <v>1.95</v>
      </c>
      <c r="B43" s="4" t="n">
        <v>1.492579</v>
      </c>
      <c r="C43" s="4" t="n">
        <v>1.635114</v>
      </c>
      <c r="D43" s="4" t="n">
        <v>1.947585</v>
      </c>
      <c r="E43" s="4" t="n">
        <v>1.216407</v>
      </c>
      <c r="F43" s="4" t="n">
        <v>1.950263</v>
      </c>
    </row>
    <row r="44">
      <c r="A44" s="4" t="n">
        <v>2</v>
      </c>
      <c r="B44" s="4" t="n">
        <v>1.559482</v>
      </c>
      <c r="C44" s="4" t="n">
        <v>1.727557</v>
      </c>
      <c r="D44" s="4" t="n">
        <v>1.946738</v>
      </c>
      <c r="E44" s="4" t="n">
        <v>1.213293</v>
      </c>
      <c r="F44" s="4" t="n">
        <v>1.610961</v>
      </c>
    </row>
    <row r="45">
      <c r="A45" s="4" t="n">
        <v>2.05</v>
      </c>
      <c r="B45" s="4" t="n">
        <v>1.628839</v>
      </c>
      <c r="C45" s="4" t="n">
        <v>1.778268</v>
      </c>
      <c r="D45" s="4" t="n">
        <v>1.944889</v>
      </c>
      <c r="E45" s="4" t="n">
        <v>1.216303</v>
      </c>
      <c r="F45" s="4" t="n">
        <v>1.964537</v>
      </c>
    </row>
    <row r="46">
      <c r="A46" s="4" t="n">
        <v>2.1</v>
      </c>
      <c r="B46" s="4" t="n">
        <v>1.695517</v>
      </c>
      <c r="C46" s="4" t="n">
        <v>1.759219</v>
      </c>
      <c r="D46" s="4" t="n">
        <v>1.944456</v>
      </c>
      <c r="E46" s="4" t="n">
        <v>1.213362</v>
      </c>
      <c r="F46" s="4" t="n">
        <v>0</v>
      </c>
    </row>
    <row r="47">
      <c r="A47" s="4" t="n">
        <v>2.15</v>
      </c>
      <c r="B47" s="4" t="n">
        <v>1.761918</v>
      </c>
      <c r="C47" s="4" t="n">
        <v>1.927944</v>
      </c>
      <c r="D47" s="4" t="n">
        <v>1.944543</v>
      </c>
      <c r="E47" s="4" t="n">
        <v>1.220057</v>
      </c>
      <c r="F47" s="4" t="n">
        <v>1.975748</v>
      </c>
    </row>
    <row r="48">
      <c r="A48" s="4" t="n">
        <v>2.2</v>
      </c>
      <c r="B48" s="4" t="n">
        <v>1.768055</v>
      </c>
      <c r="C48" s="4" t="n">
        <v>1.736882</v>
      </c>
      <c r="D48" s="4" t="n">
        <v>1.944543</v>
      </c>
      <c r="E48" s="4" t="n">
        <v>1.219919</v>
      </c>
      <c r="F48" s="4" t="n">
        <v>1.60847</v>
      </c>
    </row>
    <row r="49">
      <c r="A49" s="4" t="n">
        <v>2.25</v>
      </c>
      <c r="B49" s="4" t="n">
        <v>1.771409</v>
      </c>
      <c r="C49" s="4" t="n">
        <v>1.685773</v>
      </c>
      <c r="D49" s="4" t="n">
        <v>1.947897</v>
      </c>
      <c r="E49" s="4" t="n">
        <v>1.043294</v>
      </c>
      <c r="F49" s="4" t="n">
        <v>1.971561</v>
      </c>
    </row>
    <row r="50">
      <c r="A50" s="4" t="n">
        <v>2.3</v>
      </c>
      <c r="B50" s="4" t="n">
        <v>1.886595</v>
      </c>
      <c r="C50" s="4" t="n">
        <v>1.67034</v>
      </c>
      <c r="D50" s="4" t="n">
        <v>1.94501</v>
      </c>
      <c r="E50" s="4" t="n">
        <v>1.011255</v>
      </c>
      <c r="F50" s="4" t="n">
        <v>0</v>
      </c>
    </row>
    <row r="51">
      <c r="A51" s="4" t="n">
        <v>2.35</v>
      </c>
      <c r="B51" s="4" t="n">
        <v>1.935208</v>
      </c>
      <c r="C51" s="4" t="n">
        <v>1.91803</v>
      </c>
      <c r="D51" s="4" t="n">
        <v>1.95023</v>
      </c>
      <c r="E51" s="4" t="n">
        <v>0.974823</v>
      </c>
      <c r="F51" s="4" t="n">
        <v>1.586497</v>
      </c>
    </row>
    <row r="52">
      <c r="A52" s="4" t="n">
        <v>2.4</v>
      </c>
      <c r="B52" s="4" t="n">
        <v>1.915534</v>
      </c>
      <c r="C52" s="4" t="n">
        <v>1.925712</v>
      </c>
      <c r="D52" s="4" t="n">
        <v>1.932822</v>
      </c>
      <c r="E52" s="4" t="n">
        <v>0.954774</v>
      </c>
      <c r="F52" s="4" t="n">
        <v>1.589853</v>
      </c>
    </row>
    <row r="53">
      <c r="A53" s="4" t="n">
        <v>2.45</v>
      </c>
      <c r="B53" s="4" t="n">
        <v>1.714205</v>
      </c>
      <c r="C53" s="4" t="n">
        <v>1.93137</v>
      </c>
      <c r="D53" s="4" t="n">
        <v>1.907409</v>
      </c>
      <c r="E53" s="4" t="n">
        <v>0.9470229999999999</v>
      </c>
      <c r="F53" s="4" t="n">
        <v>1.972115</v>
      </c>
    </row>
    <row r="54">
      <c r="A54" s="4" t="n">
        <v>2.5</v>
      </c>
      <c r="B54" s="4" t="n">
        <v>1.921153</v>
      </c>
      <c r="C54" s="4" t="n">
        <v>1.57122</v>
      </c>
      <c r="D54" s="4" t="n">
        <v>1.947205</v>
      </c>
      <c r="E54" s="4" t="n">
        <v>0.942941</v>
      </c>
      <c r="F54" s="4" t="n">
        <v>1.968066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Lab 4 — Newton's Second Law · analysis</t>
        </is>
      </c>
    </row>
    <row r="2" ht="32" customHeight="1">
      <c r="A2" s="2" t="inlineStr">
        <is>
          <t>Shaded cells are yours to fill. Everything else is a live formula — do not overtype it. Choose each fit window yourself by looking at the position-vs-time graph, and be ready to justify it.</t>
        </is>
      </c>
    </row>
    <row r="4">
      <c r="A4" s="5" t="inlineStr">
        <is>
          <t>KEY</t>
        </is>
      </c>
      <c r="B4" s="6" t="inlineStr">
        <is>
          <t>you enter</t>
        </is>
      </c>
      <c r="C4" s="4" t="inlineStr">
        <is>
          <t>computed</t>
        </is>
      </c>
    </row>
    <row r="6" ht="44" customHeight="1">
      <c r="A6" s="7" t="inlineStr">
        <is>
          <t>Run</t>
        </is>
      </c>
      <c r="B6" s="7" t="inlineStr">
        <is>
          <t>Hanging mass (g)</t>
        </is>
      </c>
      <c r="C6" s="7" t="inlineStr">
        <is>
          <t>Hanging mass (kg)</t>
        </is>
      </c>
      <c r="D6" s="7" t="inlineStr">
        <is>
          <t>Driving force F = m·g (N)</t>
        </is>
      </c>
      <c r="E6" s="7" t="inlineStr">
        <is>
          <t>Fit: first row on Raw Data</t>
        </is>
      </c>
      <c r="F6" s="7" t="inlineStr">
        <is>
          <t>Fit: last row on Raw Data</t>
        </is>
      </c>
      <c r="G6" s="7" t="inlineStr">
        <is>
          <t>n points</t>
        </is>
      </c>
      <c r="H6" s="7" t="inlineStr">
        <is>
          <t>Quadratic coefficient (m/s²)</t>
        </is>
      </c>
      <c r="I6" s="7" t="inlineStr">
        <is>
          <t>Acceleration a = 2× coeff (m/s²)</t>
        </is>
      </c>
    </row>
    <row r="7">
      <c r="A7" s="4" t="inlineStr">
        <is>
          <t>100 g</t>
        </is>
      </c>
      <c r="B7" s="6" t="n">
        <v>100</v>
      </c>
      <c r="C7" s="8">
        <f>B7/1000</f>
        <v/>
      </c>
      <c r="D7" s="9">
        <f>C7*9.8</f>
        <v/>
      </c>
      <c r="E7" s="6" t="n"/>
      <c r="F7" s="6" t="n"/>
      <c r="G7" s="4">
        <f>IF(OR(E7="",F7=""),"",F7-E7+1)</f>
        <v/>
      </c>
      <c r="H7" s="8">
        <f>IF(G7="","",INDEX(LINEST(OFFSET('Raw Data'!$A$1,E7-1,1,G7,1),OFFSET('Raw Data'!$A$1,E7-1,0,G7,1)^{1,2}),1,1))</f>
        <v/>
      </c>
      <c r="I7" s="8">
        <f>IF(H7="","",2*H7)</f>
        <v/>
      </c>
    </row>
    <row r="8">
      <c r="A8" s="4" t="inlineStr">
        <is>
          <t>200 g</t>
        </is>
      </c>
      <c r="B8" s="6" t="n">
        <v>200</v>
      </c>
      <c r="C8" s="8">
        <f>B8/1000</f>
        <v/>
      </c>
      <c r="D8" s="9">
        <f>C8*9.8</f>
        <v/>
      </c>
      <c r="E8" s="6" t="n"/>
      <c r="F8" s="6" t="n"/>
      <c r="G8" s="4">
        <f>IF(OR(E8="",F8=""),"",F8-E8+1)</f>
        <v/>
      </c>
      <c r="H8" s="8">
        <f>IF(G8="","",INDEX(LINEST(OFFSET('Raw Data'!$A$1,E8-1,2,G8,1),OFFSET('Raw Data'!$A$1,E8-1,0,G8,1)^{1,2}),1,1))</f>
        <v/>
      </c>
      <c r="I8" s="8">
        <f>IF(H8="","",2*H8)</f>
        <v/>
      </c>
    </row>
    <row r="9">
      <c r="A9" s="4" t="inlineStr">
        <is>
          <t>300 g</t>
        </is>
      </c>
      <c r="B9" s="6" t="n">
        <v>300</v>
      </c>
      <c r="C9" s="8">
        <f>B9/1000</f>
        <v/>
      </c>
      <c r="D9" s="9">
        <f>C9*9.8</f>
        <v/>
      </c>
      <c r="E9" s="6" t="n"/>
      <c r="F9" s="6" t="n"/>
      <c r="G9" s="4">
        <f>IF(OR(E9="",F9=""),"",F9-E9+1)</f>
        <v/>
      </c>
      <c r="H9" s="8">
        <f>IF(G9="","",INDEX(LINEST(OFFSET('Raw Data'!$A$1,E9-1,3,G9,1),OFFSET('Raw Data'!$A$1,E9-1,0,G9,1)^{1,2}),1,1))</f>
        <v/>
      </c>
      <c r="I9" s="8">
        <f>IF(H9="","",2*H9)</f>
        <v/>
      </c>
    </row>
    <row r="10">
      <c r="A10" s="4" t="inlineStr">
        <is>
          <t>400 g</t>
        </is>
      </c>
      <c r="B10" s="6" t="n">
        <v>400</v>
      </c>
      <c r="C10" s="8">
        <f>B10/1000</f>
        <v/>
      </c>
      <c r="D10" s="9">
        <f>C10*9.8</f>
        <v/>
      </c>
      <c r="E10" s="6" t="n"/>
      <c r="F10" s="6" t="n"/>
      <c r="G10" s="4">
        <f>IF(OR(E10="",F10=""),"",F10-E10+1)</f>
        <v/>
      </c>
      <c r="H10" s="8">
        <f>IF(G10="","",INDEX(LINEST(OFFSET('Raw Data'!$A$1,E10-1,4,G10,1),OFFSET('Raw Data'!$A$1,E10-1,0,G10,1)^{1,2}),1,1))</f>
        <v/>
      </c>
      <c r="I10" s="8">
        <f>IF(H10="","",2*H10)</f>
        <v/>
      </c>
    </row>
    <row r="11">
      <c r="A11" s="4" t="inlineStr">
        <is>
          <t>500 g</t>
        </is>
      </c>
      <c r="B11" s="6" t="n">
        <v>500</v>
      </c>
      <c r="C11" s="8">
        <f>B11/1000</f>
        <v/>
      </c>
      <c r="D11" s="9">
        <f>C11*9.8</f>
        <v/>
      </c>
      <c r="E11" s="6" t="n"/>
      <c r="F11" s="6" t="n"/>
      <c r="G11" s="4">
        <f>IF(OR(E11="",F11=""),"",F11-E11+1)</f>
        <v/>
      </c>
      <c r="H11" s="8">
        <f>IF(G11="","",INDEX(LINEST(OFFSET('Raw Data'!$A$1,E11-1,5,G11,1),OFFSET('Raw Data'!$A$1,E11-1,0,G11,1)^{1,2}),1,1))</f>
        <v/>
      </c>
      <c r="I11" s="8">
        <f>IF(H11="","",2*H11)</f>
        <v/>
      </c>
    </row>
    <row r="13">
      <c r="A13" s="5" t="inlineStr">
        <is>
          <t>The straight-line fit of a against F</t>
        </is>
      </c>
    </row>
    <row r="14">
      <c r="A14" s="4" t="inlineStr">
        <is>
          <t>Slope (1/kg)</t>
        </is>
      </c>
      <c r="B14" s="10">
        <f>IFERROR(SLOPE($I$7:$I$11,$D$7:$D$11),"")</f>
        <v/>
      </c>
    </row>
    <row r="15">
      <c r="A15" s="4" t="inlineStr">
        <is>
          <t>Uncertainty in slope</t>
        </is>
      </c>
      <c r="B15" s="10">
        <f>IFERROR(INDEX(LINEST($I$7:$I$11,$D$7:$D$11,TRUE,TRUE),2,1),"")</f>
        <v/>
      </c>
    </row>
    <row r="16">
      <c r="A16" s="4" t="inlineStr">
        <is>
          <t>Intercept (m/s²)</t>
        </is>
      </c>
      <c r="B16" s="10">
        <f>IFERROR(INTERCEPT($I$7:$I$11,$D$7:$D$11),"")</f>
        <v/>
      </c>
    </row>
    <row r="17">
      <c r="A17" s="4" t="inlineStr">
        <is>
          <t>Uncertainty in intercept</t>
        </is>
      </c>
      <c r="B17" s="10">
        <f>IFERROR(INDEX(LINEST($I$7:$I$11,$D$7:$D$11,TRUE,TRUE),2,2),"")</f>
        <v/>
      </c>
    </row>
    <row r="18">
      <c r="A18" s="4" t="inlineStr">
        <is>
          <t>R²</t>
        </is>
      </c>
      <c r="B18" s="11">
        <f>IFERROR(RSQ($I$7:$I$11,$D$7:$D$11),"")</f>
        <v/>
      </c>
    </row>
    <row r="20">
      <c r="A20" s="5" t="inlineStr">
        <is>
          <t>The mass the graph gives you</t>
        </is>
      </c>
    </row>
    <row r="21">
      <c r="A21" s="4" t="inlineStr">
        <is>
          <t>Experimental total mass M = 1/slope (kg)</t>
        </is>
      </c>
      <c r="B21" s="8">
        <f>IFERROR(1/B14,"")</f>
        <v/>
      </c>
    </row>
    <row r="22">
      <c r="A22" s="4" t="inlineStr">
        <is>
          <t>Uncertainty δM = δ(slope)/slope² (kg)</t>
        </is>
      </c>
      <c r="B22" s="8">
        <f>IFERROR(B15/B14^2,"")</f>
        <v/>
      </c>
    </row>
    <row r="23">
      <c r="A23" s="4" t="inlineStr">
        <is>
          <t>Accepted total mass (kg)</t>
        </is>
      </c>
      <c r="B23" s="12" t="n">
        <v>1.54802</v>
      </c>
    </row>
    <row r="24">
      <c r="A24" s="4" t="inlineStr">
        <is>
          <t>Percent error (%)</t>
        </is>
      </c>
      <c r="B24" s="13">
        <f>IFERROR(ABS(B21-B23)/B23*100,"")</f>
        <v/>
      </c>
    </row>
    <row r="25">
      <c r="A25" s="4" t="inlineStr">
        <is>
          <t>Implied threshold force −intercept×M (N)</t>
        </is>
      </c>
      <c r="B25" s="8">
        <f>IFERROR(-B16*B21,"")</f>
        <v/>
      </c>
    </row>
    <row r="27" ht="34" customHeight="1">
      <c r="A27" s="2" t="inlineStr">
        <is>
          <t>Check the units as you go: a slope in 1/kg inverts to a mass in kg. The intercept should be zero within its own uncertainty — if it is not, the last row tells you how much driving force was being absorbed before the system moved.</t>
        </is>
      </c>
    </row>
  </sheetData>
  <mergeCells count="2">
    <mergeCell ref="A27:F2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Lab 4 — Newton's Second Law · analysis</t>
        </is>
      </c>
    </row>
    <row r="2" ht="32" customHeight="1">
      <c r="A2" s="2" t="inlineStr">
        <is>
          <t>Shaded cells are yours to fill. Everything else is a live formula — do not overtype it. This sheet is filled with one complete worked run so you can see the shape of a finished analysis.</t>
        </is>
      </c>
    </row>
    <row r="4">
      <c r="A4" s="5" t="inlineStr">
        <is>
          <t>KEY</t>
        </is>
      </c>
      <c r="B4" s="6" t="inlineStr">
        <is>
          <t>you enter</t>
        </is>
      </c>
      <c r="C4" s="4" t="inlineStr">
        <is>
          <t>computed</t>
        </is>
      </c>
    </row>
    <row r="6" ht="44" customHeight="1">
      <c r="A6" s="7" t="inlineStr">
        <is>
          <t>Run</t>
        </is>
      </c>
      <c r="B6" s="7" t="inlineStr">
        <is>
          <t>Hanging mass (g)</t>
        </is>
      </c>
      <c r="C6" s="7" t="inlineStr">
        <is>
          <t>Hanging mass (kg)</t>
        </is>
      </c>
      <c r="D6" s="7" t="inlineStr">
        <is>
          <t>Driving force F = m·g (N)</t>
        </is>
      </c>
      <c r="E6" s="7" t="inlineStr">
        <is>
          <t>Fit: first row on Raw Data</t>
        </is>
      </c>
      <c r="F6" s="7" t="inlineStr">
        <is>
          <t>Fit: last row on Raw Data</t>
        </is>
      </c>
      <c r="G6" s="7" t="inlineStr">
        <is>
          <t>n points</t>
        </is>
      </c>
      <c r="H6" s="7" t="inlineStr">
        <is>
          <t>Quadratic coefficient (m/s²)</t>
        </is>
      </c>
      <c r="I6" s="7" t="inlineStr">
        <is>
          <t>Acceleration a = 2× coeff (m/s²)</t>
        </is>
      </c>
    </row>
    <row r="7">
      <c r="A7" s="4" t="inlineStr">
        <is>
          <t>100 g</t>
        </is>
      </c>
      <c r="B7" s="6" t="n">
        <v>100</v>
      </c>
      <c r="C7" s="8">
        <f>B7/1000</f>
        <v/>
      </c>
      <c r="D7" s="9">
        <f>C7*9.8</f>
        <v/>
      </c>
      <c r="E7" s="6" t="n">
        <v>10</v>
      </c>
      <c r="F7" s="6" t="n">
        <v>46</v>
      </c>
      <c r="G7" s="4">
        <f>IF(OR(E7="",F7=""),"",F7-E7+1)</f>
        <v/>
      </c>
      <c r="H7" s="8">
        <f>IF(G7="","",INDEX(LINEST(OFFSET('Raw Data'!$A$1,E7-1,1,G7,1),OFFSET('Raw Data'!$A$1,E7-1,0,G7,1)^{1,2}),1,1))</f>
        <v/>
      </c>
      <c r="I7" s="8">
        <f>IF(H7="","",2*H7)</f>
        <v/>
      </c>
    </row>
    <row r="8">
      <c r="A8" s="4" t="inlineStr">
        <is>
          <t>200 g</t>
        </is>
      </c>
      <c r="B8" s="6" t="n">
        <v>200</v>
      </c>
      <c r="C8" s="8">
        <f>B8/1000</f>
        <v/>
      </c>
      <c r="D8" s="9">
        <f>C8*9.8</f>
        <v/>
      </c>
      <c r="E8" s="6" t="n">
        <v>17</v>
      </c>
      <c r="F8" s="6" t="n">
        <v>43</v>
      </c>
      <c r="G8" s="4">
        <f>IF(OR(E8="",F8=""),"",F8-E8+1)</f>
        <v/>
      </c>
      <c r="H8" s="8">
        <f>IF(G8="","",INDEX(LINEST(OFFSET('Raw Data'!$A$1,E8-1,2,G8,1),OFFSET('Raw Data'!$A$1,E8-1,0,G8,1)^{1,2}),1,1))</f>
        <v/>
      </c>
      <c r="I8" s="8">
        <f>IF(H8="","",2*H8)</f>
        <v/>
      </c>
    </row>
    <row r="9">
      <c r="A9" s="4" t="inlineStr">
        <is>
          <t>300 g</t>
        </is>
      </c>
      <c r="B9" s="6" t="n">
        <v>300</v>
      </c>
      <c r="C9" s="8">
        <f>B9/1000</f>
        <v/>
      </c>
      <c r="D9" s="9">
        <f>C9*9.8</f>
        <v/>
      </c>
      <c r="E9" s="6" t="n">
        <v>18</v>
      </c>
      <c r="F9" s="6" t="n">
        <v>40</v>
      </c>
      <c r="G9" s="4">
        <f>IF(OR(E9="",F9=""),"",F9-E9+1)</f>
        <v/>
      </c>
      <c r="H9" s="8">
        <f>IF(G9="","",INDEX(LINEST(OFFSET('Raw Data'!$A$1,E9-1,3,G9,1),OFFSET('Raw Data'!$A$1,E9-1,0,G9,1)^{1,2}),1,1))</f>
        <v/>
      </c>
      <c r="I9" s="8">
        <f>IF(H9="","",2*H9)</f>
        <v/>
      </c>
    </row>
    <row r="10">
      <c r="A10" s="4" t="inlineStr">
        <is>
          <t>400 g</t>
        </is>
      </c>
      <c r="B10" s="6" t="n">
        <v>400</v>
      </c>
      <c r="C10" s="8">
        <f>B10/1000</f>
        <v/>
      </c>
      <c r="D10" s="9">
        <f>C10*9.8</f>
        <v/>
      </c>
      <c r="E10" s="6" t="n">
        <v>17</v>
      </c>
      <c r="F10" s="6" t="n">
        <v>29</v>
      </c>
      <c r="G10" s="4">
        <f>IF(OR(E10="",F10=""),"",F10-E10+1)</f>
        <v/>
      </c>
      <c r="H10" s="8">
        <f>IF(G10="","",INDEX(LINEST(OFFSET('Raw Data'!$A$1,E10-1,4,G10,1),OFFSET('Raw Data'!$A$1,E10-1,0,G10,1)^{1,2}),1,1))</f>
        <v/>
      </c>
      <c r="I10" s="8">
        <f>IF(H10="","",2*H10)</f>
        <v/>
      </c>
    </row>
    <row r="11">
      <c r="A11" s="4" t="inlineStr">
        <is>
          <t>500 g</t>
        </is>
      </c>
      <c r="B11" s="6" t="n">
        <v>500</v>
      </c>
      <c r="C11" s="8">
        <f>B11/1000</f>
        <v/>
      </c>
      <c r="D11" s="9">
        <f>C11*9.8</f>
        <v/>
      </c>
      <c r="E11" s="6" t="n">
        <v>9</v>
      </c>
      <c r="F11" s="6" t="n">
        <v>24</v>
      </c>
      <c r="G11" s="4">
        <f>IF(OR(E11="",F11=""),"",F11-E11+1)</f>
        <v/>
      </c>
      <c r="H11" s="8">
        <f>IF(G11="","",INDEX(LINEST(OFFSET('Raw Data'!$A$1,E11-1,5,G11,1),OFFSET('Raw Data'!$A$1,E11-1,0,G11,1)^{1,2}),1,1))</f>
        <v/>
      </c>
      <c r="I11" s="8">
        <f>IF(H11="","",2*H11)</f>
        <v/>
      </c>
    </row>
    <row r="13">
      <c r="A13" s="5" t="inlineStr">
        <is>
          <t>The straight-line fit of a against F</t>
        </is>
      </c>
    </row>
    <row r="14">
      <c r="A14" s="4" t="inlineStr">
        <is>
          <t>Slope (1/kg)</t>
        </is>
      </c>
      <c r="B14" s="10">
        <f>IFERROR(SLOPE($I$7:$I$11,$D$7:$D$11),"")</f>
        <v/>
      </c>
    </row>
    <row r="15">
      <c r="A15" s="4" t="inlineStr">
        <is>
          <t>Uncertainty in slope</t>
        </is>
      </c>
      <c r="B15" s="10">
        <f>IFERROR(INDEX(LINEST($I$7:$I$11,$D$7:$D$11,TRUE,TRUE),2,1),"")</f>
        <v/>
      </c>
    </row>
    <row r="16">
      <c r="A16" s="4" t="inlineStr">
        <is>
          <t>Intercept (m/s²)</t>
        </is>
      </c>
      <c r="B16" s="10">
        <f>IFERROR(INTERCEPT($I$7:$I$11,$D$7:$D$11),"")</f>
        <v/>
      </c>
    </row>
    <row r="17">
      <c r="A17" s="4" t="inlineStr">
        <is>
          <t>Uncertainty in intercept</t>
        </is>
      </c>
      <c r="B17" s="10">
        <f>IFERROR(INDEX(LINEST($I$7:$I$11,$D$7:$D$11,TRUE,TRUE),2,2),"")</f>
        <v/>
      </c>
    </row>
    <row r="18">
      <c r="A18" s="4" t="inlineStr">
        <is>
          <t>R²</t>
        </is>
      </c>
      <c r="B18" s="11">
        <f>IFERROR(RSQ($I$7:$I$11,$D$7:$D$11),"")</f>
        <v/>
      </c>
    </row>
    <row r="20">
      <c r="A20" s="5" t="inlineStr">
        <is>
          <t>The mass the graph gives you</t>
        </is>
      </c>
    </row>
    <row r="21">
      <c r="A21" s="4" t="inlineStr">
        <is>
          <t>Experimental total mass M = 1/slope (kg)</t>
        </is>
      </c>
      <c r="B21" s="8">
        <f>IFERROR(1/B14,"")</f>
        <v/>
      </c>
    </row>
    <row r="22">
      <c r="A22" s="4" t="inlineStr">
        <is>
          <t>Uncertainty δM = δ(slope)/slope² (kg)</t>
        </is>
      </c>
      <c r="B22" s="8">
        <f>IFERROR(B15/B14^2,"")</f>
        <v/>
      </c>
    </row>
    <row r="23">
      <c r="A23" s="4" t="inlineStr">
        <is>
          <t>Accepted total mass (kg)</t>
        </is>
      </c>
      <c r="B23" s="12" t="n">
        <v>1.54802</v>
      </c>
    </row>
    <row r="24">
      <c r="A24" s="4" t="inlineStr">
        <is>
          <t>Percent error (%)</t>
        </is>
      </c>
      <c r="B24" s="13">
        <f>IFERROR(ABS(B21-B23)/B23*100,"")</f>
        <v/>
      </c>
    </row>
    <row r="25">
      <c r="A25" s="4" t="inlineStr">
        <is>
          <t>Implied threshold force −intercept×M (N)</t>
        </is>
      </c>
      <c r="B25" s="8">
        <f>IFERROR(-B16*B21,"")</f>
        <v/>
      </c>
    </row>
    <row r="27" ht="34" customHeight="1">
      <c r="A27" s="2" t="inlineStr">
        <is>
          <t>Check the units as you go: a slope in 1/kg inverts to a mass in kg. The intercept should be zero within its own uncertainty — if it is not, the last row tells you how much driving force was being absorbed before the system moved.</t>
        </is>
      </c>
    </row>
  </sheetData>
  <mergeCells count="2">
    <mergeCell ref="A27:F2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2026-09-27T22:25:53Z</dcterms:created>
  <dcterms:modified xmlns:dcterms="http://purl.org/dc/terms/" xmlns:xsi="http://www.w3.org/2001/XMLSchema-instance" xsi:type="dcterms:W3CDTF">2026-09-27T22:25:53Z</dcterms:modified>
</cp:coreProperties>
</file>