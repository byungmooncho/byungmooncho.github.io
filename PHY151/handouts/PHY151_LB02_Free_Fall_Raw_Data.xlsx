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aw Data" sheetId="1" state="visible" r:id="rId1"/>
  </sheets>
  <definedNames>
    <definedName name="_xlnm.Print_Area" localSheetId="0">'Raw Data'!$A$1:$O$45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0.0"/>
    <numFmt numFmtId="167" formatCode="0.00000"/>
    <numFmt numFmtId="168" formatCode="0.0%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E6B3C"/>
      <sz val="14"/>
    </font>
    <font>
      <name val="Arial"/>
      <charset val="1"/>
      <family val="0"/>
      <i val="1"/>
      <color rgb="FF5C6B62"/>
      <sz val="10"/>
    </font>
    <font>
      <name val="Arial"/>
      <charset val="1"/>
      <family val="0"/>
      <b val="1"/>
      <color rgb="FF1D2B23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1D2B23"/>
      <sz val="10"/>
    </font>
    <font>
      <name val="Arial"/>
      <charset val="1"/>
      <family val="0"/>
      <b val="1"/>
      <color rgb="FF5C6B62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1D2B23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A5A14"/>
      <sz val="9"/>
    </font>
    <font>
      <name val="Arial"/>
      <charset val="1"/>
      <family val="0"/>
      <i val="1"/>
      <color rgb="FF5C6B62"/>
      <sz val="9"/>
    </font>
    <font>
      <name val="Arial"/>
      <charset val="1"/>
      <family val="0"/>
      <b val="1"/>
      <color rgb="FF7A5A14"/>
      <sz val="10"/>
    </font>
    <font>
      <name val="Arial"/>
      <charset val="1"/>
      <family val="0"/>
      <i val="1"/>
      <color rgb="FF7A5A14"/>
      <sz val="9"/>
    </font>
    <font>
      <name val="Arial"/>
      <charset val="1"/>
      <family val="0"/>
      <b val="1"/>
      <i val="1"/>
      <color rgb="FF5C6B62"/>
      <sz val="9"/>
    </font>
    <font>
      <name val="Arial"/>
      <charset val="1"/>
      <family val="0"/>
      <b val="1"/>
      <color rgb="FF1D2B23"/>
      <sz val="9"/>
    </font>
    <font>
      <name val="Arial"/>
      <family val="2"/>
      <sz val="10"/>
    </font>
  </fonts>
  <fills count="7">
    <fill>
      <patternFill/>
    </fill>
    <fill>
      <patternFill patternType="gray125"/>
    </fill>
    <fill>
      <patternFill patternType="solid">
        <fgColor rgb="FFFFF2CC"/>
        <bgColor rgb="FFFDF3E3"/>
      </patternFill>
    </fill>
    <fill>
      <patternFill patternType="solid">
        <fgColor rgb="FF1E6B3C"/>
        <bgColor rgb="FF008080"/>
      </patternFill>
    </fill>
    <fill>
      <patternFill patternType="solid">
        <fgColor rgb="FFF6E7C4"/>
        <bgColor rgb="FFFFF2CC"/>
      </patternFill>
    </fill>
    <fill>
      <patternFill patternType="solid">
        <fgColor rgb="FFFDF3E3"/>
        <bgColor rgb="FFFFF2CC"/>
      </patternFill>
    </fill>
    <fill>
      <patternFill patternType="solid">
        <fgColor rgb="FFEAF3ED"/>
        <bgColor rgb="FFFDF3E3"/>
      </patternFill>
    </fill>
  </fills>
  <borders count="5">
    <border>
      <left/>
      <right/>
      <top/>
      <bottom/>
      <diagonal/>
    </border>
    <border>
      <left style="thin">
        <color rgb="FFD7E2DA"/>
      </left>
      <right style="thin">
        <color rgb="FFD7E2DA"/>
      </right>
      <top style="thin">
        <color rgb="FFD7E2DA"/>
      </top>
      <bottom style="thin">
        <color rgb="FFD7E2DA"/>
      </bottom>
      <diagonal/>
    </border>
    <border>
      <left style="thin">
        <color rgb="FFD7E2DA"/>
      </left>
      <right/>
      <top style="thin">
        <color rgb="FFD7E2DA"/>
      </top>
      <bottom style="thin">
        <color rgb="FFD7E2DA"/>
      </bottom>
      <diagonal/>
    </border>
    <border>
      <left/>
      <right/>
      <top style="thin">
        <color rgb="FFD7E2DA"/>
      </top>
      <bottom/>
      <diagonal/>
    </border>
    <border>
      <left/>
      <right/>
      <top style="thin">
        <color rgb="FFD7E2DA"/>
      </top>
      <bottom style="thin">
        <color rgb="FFD7E2D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7" fillId="2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2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6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164" fontId="7" fillId="2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165" fontId="7" fillId="2" borderId="1" applyAlignment="1" pivotButton="0" quotePrefix="0" xfId="0">
      <alignment horizontal="center" vertical="center"/>
    </xf>
    <xf numFmtId="167" fontId="7" fillId="2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2" fontId="7" fillId="2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6" borderId="1" applyAlignment="1" pivotButton="0" quotePrefix="0" xfId="0">
      <alignment horizontal="center" vertical="center"/>
    </xf>
    <xf numFmtId="1" fontId="11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1" fontId="7" fillId="2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11" fillId="0" borderId="2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6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164" fontId="7" fillId="2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165" fontId="7" fillId="2" borderId="1" applyAlignment="1" pivotButton="0" quotePrefix="0" xfId="0">
      <alignment horizontal="center" vertical="center"/>
    </xf>
    <xf numFmtId="167" fontId="7" fillId="2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2" fontId="7" fillId="2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6" borderId="1" applyAlignment="1" pivotButton="0" quotePrefix="0" xfId="0">
      <alignment horizontal="center" vertical="center"/>
    </xf>
    <xf numFmtId="1" fontId="11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7A5A14"/>
      <rgbColor rgb="FF800080"/>
      <rgbColor rgb="FF008080"/>
      <rgbColor rgb="FFC0C0C0"/>
      <rgbColor rgb="FF808080"/>
      <rgbColor rgb="FF9999FF"/>
      <rgbColor rgb="FF993366"/>
      <rgbColor rgb="FFFFF2CC"/>
      <rgbColor rgb="FFEAF3ED"/>
      <rgbColor rgb="FF660066"/>
      <rgbColor rgb="FFFF8080"/>
      <rgbColor rgb="FF0066CC"/>
      <rgbColor rgb="FFD7E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DF3E3"/>
      <rgbColor rgb="FFF6E7C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B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C7" authorId="0" shapeId="0">
      <text>
        <t>Read this off the label on the timer you actually used. Most of our units are 40 Hz, but some run at 60 Hz. Every time in column B depends on this number, and the acceleration you end up with scales as f squared — a wrong value here puts everything out by a factor of 2.25.</t>
      </text>
    </comment>
    <comment ref="K13" authorId="0" shapeId="0">
      <text>
        <t>Read A, B and C straight off the order-2 trendline equation on your chart, and R² from the label beside it. Set the trendline label to Scientific with 4 decimals first — the default rounding of A alone can move your answer by more than a percent.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4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4" min="1" max="1"/>
    <col width="11" customWidth="1" style="34" min="2" max="2"/>
    <col width="12" customWidth="1" style="34" min="3" max="5"/>
    <col width="13" customWidth="1" style="34" min="6" max="8"/>
    <col width="15" customWidth="1" style="34" min="9" max="9"/>
    <col width="3" customWidth="1" style="34" min="10" max="10"/>
    <col width="22" customWidth="1" style="34" min="11" max="11"/>
    <col width="11" customWidth="1" style="34" min="12" max="14"/>
    <col width="14" customWidth="1" style="34" min="15" max="15"/>
  </cols>
  <sheetData>
    <row r="1" ht="17.35" customHeight="1" s="35">
      <c r="A1" s="36" t="inlineStr">
        <is>
          <t>PHY 151  ·  Lab 2 — Free Fall from a Ticker Tape</t>
        </is>
      </c>
    </row>
    <row r="2" ht="15" customHeight="1" s="35">
      <c r="A2" s="37" t="inlineStr">
        <is>
          <t>Raw data sheet.  Type only in the shaded cells.  Everything else calculates itself.</t>
        </is>
      </c>
    </row>
    <row r="4" ht="15" customHeight="1" s="35">
      <c r="A4" s="38" t="inlineStr">
        <is>
          <t>Name</t>
        </is>
      </c>
      <c r="B4" s="39" t="n"/>
      <c r="D4" s="38" t="inlineStr">
        <is>
          <t>Partner</t>
        </is>
      </c>
      <c r="E4" s="39" t="n"/>
    </row>
    <row r="5" ht="15" customHeight="1" s="35">
      <c r="A5" s="38" t="inlineStr">
        <is>
          <t>Section</t>
        </is>
      </c>
      <c r="B5" s="39" t="n"/>
      <c r="D5" s="38" t="inlineStr">
        <is>
          <t>Date</t>
        </is>
      </c>
      <c r="E5" s="39" t="n"/>
    </row>
    <row r="7" ht="15" customHeight="1" s="35">
      <c r="A7" s="38" t="inlineStr">
        <is>
          <t>Timer frequency  f  (Hz)</t>
        </is>
      </c>
      <c r="C7" s="40" t="n">
        <v>40</v>
      </c>
      <c r="E7" s="38" t="inlineStr">
        <is>
          <t>Accepted value of g  (m/s²)</t>
        </is>
      </c>
      <c r="G7" s="41" t="n">
        <v>9.81</v>
      </c>
    </row>
    <row r="8" ht="15" customHeight="1" s="35">
      <c r="A8" s="38" t="inlineStr">
        <is>
          <t>Tick interval  Δt = 1/f  (s)</t>
        </is>
      </c>
      <c r="C8" s="42">
        <f>IF($C$7="","",1/$C$7)</f>
        <v/>
      </c>
    </row>
    <row r="10" ht="15" customHeight="1" s="35">
      <c r="A10" s="43" t="inlineStr">
        <is>
          <t>KEY</t>
        </is>
      </c>
      <c r="B10" s="44" t="inlineStr">
        <is>
          <t xml:space="preserve">  shaded = you type here  </t>
        </is>
      </c>
      <c r="C10" s="45" t="n"/>
      <c r="D10" s="46" t="inlineStr">
        <is>
          <t xml:space="preserve">  white = calculated, do not type  </t>
        </is>
      </c>
      <c r="E10" s="45" t="n"/>
    </row>
    <row r="12" ht="30" customHeight="1" s="35">
      <c r="A12" s="47" t="inlineStr">
        <is>
          <t>Dot #</t>
        </is>
      </c>
      <c r="B12" s="47" t="inlineStr">
        <is>
          <t>Time  t  (s)</t>
        </is>
      </c>
      <c r="C12" s="47" t="inlineStr">
        <is>
          <t>Tape 1  (cm)</t>
        </is>
      </c>
      <c r="D12" s="47" t="inlineStr">
        <is>
          <t>Tape 2  (cm)</t>
        </is>
      </c>
      <c r="E12" s="47" t="inlineStr">
        <is>
          <t>Tape 3  (cm)</t>
        </is>
      </c>
      <c r="F12" s="47" t="inlineStr">
        <is>
          <t>Tape 1  x  (m)</t>
        </is>
      </c>
      <c r="G12" s="47" t="inlineStr">
        <is>
          <t>Tape 2  x  (m)</t>
        </is>
      </c>
      <c r="H12" s="47" t="inlineStr">
        <is>
          <t>Tape 3  x  (m)</t>
        </is>
      </c>
      <c r="I12" s="48" t="inlineStr">
        <is>
          <t>Tape 1  v  (m/s)
OPTIONAL — bonus only</t>
        </is>
      </c>
      <c r="K12" s="49" t="inlineStr">
        <is>
          <t>FIT RESULTS</t>
        </is>
      </c>
      <c r="L12" s="49" t="inlineStr">
        <is>
          <t>Tape 1</t>
        </is>
      </c>
      <c r="M12" s="49" t="inlineStr">
        <is>
          <t>Tape 2</t>
        </is>
      </c>
      <c r="N12" s="49" t="inlineStr">
        <is>
          <t>Tape 3</t>
        </is>
      </c>
    </row>
    <row r="13" ht="15" customHeight="1" s="35">
      <c r="A13" s="50" t="n">
        <v>0</v>
      </c>
      <c r="B13" s="51">
        <f>IF($C$7="","",A13/$C$7)</f>
        <v/>
      </c>
      <c r="C13" s="52" t="n"/>
      <c r="D13" s="52" t="n"/>
      <c r="E13" s="52" t="n"/>
      <c r="F13" s="42">
        <f>IF(C13="","",C13/100)</f>
        <v/>
      </c>
      <c r="G13" s="42">
        <f>IF(D13="","",D13/100)</f>
        <v/>
      </c>
      <c r="H13" s="42">
        <f>IF(E13="","",E13/100)</f>
        <v/>
      </c>
      <c r="I13" s="53" t="n"/>
      <c r="K13" s="54" t="inlineStr">
        <is>
          <t>A   (m/s²)</t>
        </is>
      </c>
      <c r="L13" s="55" t="n"/>
      <c r="M13" s="55" t="n"/>
      <c r="N13" s="55" t="n"/>
    </row>
    <row r="14" ht="15" customHeight="1" s="35">
      <c r="A14" s="50" t="n">
        <v>1</v>
      </c>
      <c r="B14" s="51">
        <f>IF($C$7="","",A14/$C$7)</f>
        <v/>
      </c>
      <c r="C14" s="52" t="n"/>
      <c r="D14" s="52" t="n"/>
      <c r="E14" s="52" t="n"/>
      <c r="F14" s="42">
        <f>IF(C14="","",C14/100)</f>
        <v/>
      </c>
      <c r="G14" s="42">
        <f>IF(D14="","",D14/100)</f>
        <v/>
      </c>
      <c r="H14" s="42">
        <f>IF(E14="","",E14/100)</f>
        <v/>
      </c>
      <c r="I14" s="56">
        <f>IF(OR($F13="",$F15=""),"",($F15-$F13)/(2*$C$8))</f>
        <v/>
      </c>
      <c r="K14" s="54" t="inlineStr">
        <is>
          <t>B   (m/s)</t>
        </is>
      </c>
      <c r="L14" s="57" t="n"/>
      <c r="M14" s="57" t="n"/>
      <c r="N14" s="57" t="n"/>
    </row>
    <row r="15" ht="15" customHeight="1" s="35">
      <c r="A15" s="50" t="n">
        <v>2</v>
      </c>
      <c r="B15" s="51">
        <f>IF($C$7="","",A15/$C$7)</f>
        <v/>
      </c>
      <c r="C15" s="52" t="n"/>
      <c r="D15" s="52" t="n"/>
      <c r="E15" s="52" t="n"/>
      <c r="F15" s="42">
        <f>IF(C15="","",C15/100)</f>
        <v/>
      </c>
      <c r="G15" s="42">
        <f>IF(D15="","",D15/100)</f>
        <v/>
      </c>
      <c r="H15" s="42">
        <f>IF(E15="","",E15/100)</f>
        <v/>
      </c>
      <c r="I15" s="56">
        <f>IF(OR($F14="",$F16=""),"",($F16-$F14)/(2*$C$8))</f>
        <v/>
      </c>
      <c r="K15" s="54" t="inlineStr">
        <is>
          <t>C   (m)</t>
        </is>
      </c>
      <c r="L15" s="55" t="n"/>
      <c r="M15" s="55" t="n"/>
      <c r="N15" s="55" t="n"/>
    </row>
    <row r="16" ht="15" customHeight="1" s="35">
      <c r="A16" s="50" t="n">
        <v>3</v>
      </c>
      <c r="B16" s="51">
        <f>IF($C$7="","",A16/$C$7)</f>
        <v/>
      </c>
      <c r="C16" s="52" t="n"/>
      <c r="D16" s="52" t="n"/>
      <c r="E16" s="52" t="n"/>
      <c r="F16" s="42">
        <f>IF(C16="","",C16/100)</f>
        <v/>
      </c>
      <c r="G16" s="42">
        <f>IF(D16="","",D16/100)</f>
        <v/>
      </c>
      <c r="H16" s="42">
        <f>IF(E16="","",E16/100)</f>
        <v/>
      </c>
      <c r="I16" s="56">
        <f>IF(OR($F15="",$F17=""),"",($F17-$F15)/(2*$C$8))</f>
        <v/>
      </c>
      <c r="K16" s="54" t="inlineStr">
        <is>
          <t>R²</t>
        </is>
      </c>
      <c r="L16" s="58" t="n"/>
      <c r="M16" s="58" t="n"/>
      <c r="N16" s="58" t="n"/>
    </row>
    <row r="17" ht="15" customHeight="1" s="35">
      <c r="A17" s="50" t="n">
        <v>4</v>
      </c>
      <c r="B17" s="51">
        <f>IF($C$7="","",A17/$C$7)</f>
        <v/>
      </c>
      <c r="C17" s="52" t="n"/>
      <c r="D17" s="52" t="n"/>
      <c r="E17" s="52" t="n"/>
      <c r="F17" s="42">
        <f>IF(C17="","",C17/100)</f>
        <v/>
      </c>
      <c r="G17" s="42">
        <f>IF(D17="","",D17/100)</f>
        <v/>
      </c>
      <c r="H17" s="42">
        <f>IF(E17="","",E17/100)</f>
        <v/>
      </c>
      <c r="I17" s="56">
        <f>IF(OR($F16="",$F18=""),"",($F18-$F16)/(2*$C$8))</f>
        <v/>
      </c>
      <c r="K17" s="54" t="inlineStr">
        <is>
          <t>g = 2A   (m/s²)</t>
        </is>
      </c>
      <c r="L17" s="41">
        <f>IF(L13="","",2*L13)</f>
        <v/>
      </c>
      <c r="M17" s="41">
        <f>IF(M13="","",2*M13)</f>
        <v/>
      </c>
      <c r="N17" s="41">
        <f>IF(N13="","",2*N13)</f>
        <v/>
      </c>
    </row>
    <row r="18" ht="15" customHeight="1" s="35">
      <c r="A18" s="50" t="n">
        <v>5</v>
      </c>
      <c r="B18" s="51">
        <f>IF($C$7="","",A18/$C$7)</f>
        <v/>
      </c>
      <c r="C18" s="52" t="n"/>
      <c r="D18" s="52" t="n"/>
      <c r="E18" s="52" t="n"/>
      <c r="F18" s="42">
        <f>IF(C18="","",C18/100)</f>
        <v/>
      </c>
      <c r="G18" s="42">
        <f>IF(D18="","",D18/100)</f>
        <v/>
      </c>
      <c r="H18" s="42">
        <f>IF(E18="","",E18/100)</f>
        <v/>
      </c>
      <c r="I18" s="56">
        <f>IF(OR($F17="",$F19=""),"",($F19-$F17)/(2*$C$8))</f>
        <v/>
      </c>
      <c r="K18" s="54" t="inlineStr">
        <is>
          <t>% error vs accepted</t>
        </is>
      </c>
      <c r="L18" s="59">
        <f>IF(L17="","",ABS(L17-$G$7)/$G$7)</f>
        <v/>
      </c>
      <c r="M18" s="59">
        <f>IF(M17="","",ABS(M17-$G$7)/$G$7)</f>
        <v/>
      </c>
      <c r="N18" s="59">
        <f>IF(N17="","",ABS(N17-$G$7)/$G$7)</f>
        <v/>
      </c>
    </row>
    <row r="19" ht="15" customHeight="1" s="35">
      <c r="A19" s="50" t="n">
        <v>6</v>
      </c>
      <c r="B19" s="51">
        <f>IF($C$7="","",A19/$C$7)</f>
        <v/>
      </c>
      <c r="C19" s="52" t="n"/>
      <c r="D19" s="52" t="n"/>
      <c r="E19" s="52" t="n"/>
      <c r="F19" s="42">
        <f>IF(C19="","",C19/100)</f>
        <v/>
      </c>
      <c r="G19" s="42">
        <f>IF(D19="","",D19/100)</f>
        <v/>
      </c>
      <c r="H19" s="42">
        <f>IF(E19="","",E19/100)</f>
        <v/>
      </c>
      <c r="I19" s="56">
        <f>IF(OR($F18="",$F20=""),"",($F20-$F18)/(2*$C$8))</f>
        <v/>
      </c>
    </row>
    <row r="20" ht="15" customHeight="1" s="35">
      <c r="A20" s="50" t="n">
        <v>7</v>
      </c>
      <c r="B20" s="51">
        <f>IF($C$7="","",A20/$C$7)</f>
        <v/>
      </c>
      <c r="C20" s="52" t="n"/>
      <c r="D20" s="52" t="n"/>
      <c r="E20" s="52" t="n"/>
      <c r="F20" s="42">
        <f>IF(C20="","",C20/100)</f>
        <v/>
      </c>
      <c r="G20" s="42">
        <f>IF(D20="","",D20/100)</f>
        <v/>
      </c>
      <c r="H20" s="42">
        <f>IF(E20="","",E20/100)</f>
        <v/>
      </c>
      <c r="I20" s="56">
        <f>IF(OR($F19="",$F21=""),"",($F21-$F19)/(2*$C$8))</f>
        <v/>
      </c>
      <c r="K20" s="54" t="inlineStr">
        <is>
          <t>Mean  ḡ   (m/s²)</t>
        </is>
      </c>
      <c r="L20" s="41">
        <f>IF(COUNT(L17:N17)=0,"",AVERAGE(L17:N17))</f>
        <v/>
      </c>
    </row>
    <row r="21" ht="15" customHeight="1" s="35">
      <c r="A21" s="50" t="n">
        <v>8</v>
      </c>
      <c r="B21" s="51">
        <f>IF($C$7="","",A21/$C$7)</f>
        <v/>
      </c>
      <c r="C21" s="52" t="n"/>
      <c r="D21" s="52" t="n"/>
      <c r="E21" s="52" t="n"/>
      <c r="F21" s="42">
        <f>IF(C21="","",C21/100)</f>
        <v/>
      </c>
      <c r="G21" s="42">
        <f>IF(D21="","",D21/100)</f>
        <v/>
      </c>
      <c r="H21" s="42">
        <f>IF(E21="","",E21/100)</f>
        <v/>
      </c>
      <c r="I21" s="56">
        <f>IF(OR($F20="",$F22=""),"",($F22-$F20)/(2*$C$8))</f>
        <v/>
      </c>
      <c r="K21" s="54" t="inlineStr">
        <is>
          <t>Std. deviation  s</t>
        </is>
      </c>
      <c r="L21" s="41">
        <f>IF(COUNT(L17:N17)&lt;2,"",STDEV(L17:N17))</f>
        <v/>
      </c>
    </row>
    <row r="22" ht="15" customHeight="1" s="35">
      <c r="A22" s="50" t="n">
        <v>9</v>
      </c>
      <c r="B22" s="51">
        <f>IF($C$7="","",A22/$C$7)</f>
        <v/>
      </c>
      <c r="C22" s="52" t="n"/>
      <c r="D22" s="52" t="n"/>
      <c r="E22" s="52" t="n"/>
      <c r="F22" s="42">
        <f>IF(C22="","",C22/100)</f>
        <v/>
      </c>
      <c r="G22" s="42">
        <f>IF(D22="","",D22/100)</f>
        <v/>
      </c>
      <c r="H22" s="42">
        <f>IF(E22="","",E22/100)</f>
        <v/>
      </c>
      <c r="I22" s="56">
        <f>IF(OR($F21="",$F23=""),"",($F23-$F21)/(2*$C$8))</f>
        <v/>
      </c>
      <c r="K22" s="54" t="inlineStr">
        <is>
          <t>% error of the mean</t>
        </is>
      </c>
      <c r="L22" s="59">
        <f>IF(L20="","",ABS(L20-$G$7)/$G$7)</f>
        <v/>
      </c>
    </row>
    <row r="23" ht="15" customHeight="1" s="35">
      <c r="A23" s="50" t="n">
        <v>10</v>
      </c>
      <c r="B23" s="51">
        <f>IF($C$7="","",A23/$C$7)</f>
        <v/>
      </c>
      <c r="C23" s="52" t="n"/>
      <c r="D23" s="52" t="n"/>
      <c r="E23" s="52" t="n"/>
      <c r="F23" s="42">
        <f>IF(C23="","",C23/100)</f>
        <v/>
      </c>
      <c r="G23" s="42">
        <f>IF(D23="","",D23/100)</f>
        <v/>
      </c>
      <c r="H23" s="42">
        <f>IF(E23="","",E23/100)</f>
        <v/>
      </c>
      <c r="I23" s="56">
        <f>IF(OR($F22="",$F24=""),"",($F24-$F22)/(2*$C$8))</f>
        <v/>
      </c>
      <c r="K23" s="60" t="inlineStr">
        <is>
          <t>Report your result as  ḡ ± s , with s to one significant digit.</t>
        </is>
      </c>
    </row>
    <row r="24" ht="15" customHeight="1" s="35">
      <c r="A24" s="50" t="n">
        <v>11</v>
      </c>
      <c r="B24" s="51">
        <f>IF($C$7="","",A24/$C$7)</f>
        <v/>
      </c>
      <c r="C24" s="52" t="n"/>
      <c r="D24" s="52" t="n"/>
      <c r="E24" s="52" t="n"/>
      <c r="F24" s="42">
        <f>IF(C24="","",C24/100)</f>
        <v/>
      </c>
      <c r="G24" s="42">
        <f>IF(D24="","",D24/100)</f>
        <v/>
      </c>
      <c r="H24" s="42">
        <f>IF(E24="","",E24/100)</f>
        <v/>
      </c>
      <c r="I24" s="56">
        <f>IF(OR($F23="",$F25=""),"",($F25-$F23)/(2*$C$8))</f>
        <v/>
      </c>
      <c r="K24" s="61" t="inlineStr">
        <is>
          <t>Optional (bonus) — velocity method</t>
        </is>
      </c>
    </row>
    <row r="25" ht="15" customHeight="1" s="35">
      <c r="A25" s="50" t="n">
        <v>12</v>
      </c>
      <c r="B25" s="51">
        <f>IF($C$7="","",A25/$C$7)</f>
        <v/>
      </c>
      <c r="C25" s="52" t="n"/>
      <c r="D25" s="52" t="n"/>
      <c r="E25" s="52" t="n"/>
      <c r="F25" s="42">
        <f>IF(C25="","",C25/100)</f>
        <v/>
      </c>
      <c r="G25" s="42">
        <f>IF(D25="","",D25/100)</f>
        <v/>
      </c>
      <c r="H25" s="42">
        <f>IF(E25="","",E25/100)</f>
        <v/>
      </c>
      <c r="I25" s="56">
        <f>IF(OR($F24="",$F26=""),"",($F26-$F24)/(2*$C$8))</f>
        <v/>
      </c>
      <c r="K25" s="62" t="inlineStr">
        <is>
          <t>Slope of v vs t   (m/s²)</t>
        </is>
      </c>
      <c r="L25" s="63" t="n"/>
    </row>
    <row r="26" ht="15" customHeight="1" s="35">
      <c r="A26" s="50" t="n">
        <v>13</v>
      </c>
      <c r="B26" s="51">
        <f>IF($C$7="","",A26/$C$7)</f>
        <v/>
      </c>
      <c r="C26" s="52" t="n"/>
      <c r="D26" s="52" t="n"/>
      <c r="E26" s="52" t="n"/>
      <c r="F26" s="42">
        <f>IF(C26="","",C26/100)</f>
        <v/>
      </c>
      <c r="G26" s="42">
        <f>IF(D26="","",D26/100)</f>
        <v/>
      </c>
      <c r="H26" s="42">
        <f>IF(E26="","",E26/100)</f>
        <v/>
      </c>
      <c r="I26" s="56">
        <f>IF(OR($F25="",$F27=""),"",($F27-$F25)/(2*$C$8))</f>
        <v/>
      </c>
      <c r="K26" s="62" t="inlineStr">
        <is>
          <t>% error vs accepted</t>
        </is>
      </c>
      <c r="L26" s="59">
        <f>IF(L25="","",ABS(L25-$G$7)/$G$7)</f>
        <v/>
      </c>
    </row>
    <row r="27" ht="15" customHeight="1" s="35">
      <c r="A27" s="50" t="n">
        <v>14</v>
      </c>
      <c r="B27" s="51">
        <f>IF($C$7="","",A27/$C$7)</f>
        <v/>
      </c>
      <c r="C27" s="52" t="n"/>
      <c r="D27" s="52" t="n"/>
      <c r="E27" s="52" t="n"/>
      <c r="F27" s="42">
        <f>IF(C27="","",C27/100)</f>
        <v/>
      </c>
      <c r="G27" s="42">
        <f>IF(D27="","",D27/100)</f>
        <v/>
      </c>
      <c r="H27" s="42">
        <f>IF(E27="","",E27/100)</f>
        <v/>
      </c>
      <c r="I27" s="56">
        <f>IF(OR($F26="",$F28=""),"",($F28-$F26)/(2*$C$8))</f>
        <v/>
      </c>
      <c r="K27" s="64" t="inlineStr">
        <is>
          <t>The slope IS the acceleration — do not double it.</t>
        </is>
      </c>
    </row>
    <row r="28" ht="15" customHeight="1" s="35">
      <c r="A28" s="50" t="n">
        <v>15</v>
      </c>
      <c r="B28" s="51">
        <f>IF($C$7="","",A28/$C$7)</f>
        <v/>
      </c>
      <c r="C28" s="52" t="n"/>
      <c r="D28" s="52" t="n"/>
      <c r="E28" s="52" t="n"/>
      <c r="F28" s="42">
        <f>IF(C28="","",C28/100)</f>
        <v/>
      </c>
      <c r="G28" s="42">
        <f>IF(D28="","",D28/100)</f>
        <v/>
      </c>
      <c r="H28" s="42">
        <f>IF(E28="","",E28/100)</f>
        <v/>
      </c>
      <c r="I28" s="56">
        <f>IF(OR($F27="",$F29=""),"",($F29-$F27)/(2*$C$8))</f>
        <v/>
      </c>
    </row>
    <row r="29" ht="15" customHeight="1" s="35">
      <c r="A29" s="50" t="n">
        <v>16</v>
      </c>
      <c r="B29" s="51">
        <f>IF($C$7="","",A29/$C$7)</f>
        <v/>
      </c>
      <c r="C29" s="52" t="n"/>
      <c r="D29" s="52" t="n"/>
      <c r="E29" s="52" t="n"/>
      <c r="F29" s="42">
        <f>IF(C29="","",C29/100)</f>
        <v/>
      </c>
      <c r="G29" s="42">
        <f>IF(D29="","",D29/100)</f>
        <v/>
      </c>
      <c r="H29" s="42">
        <f>IF(E29="","",E29/100)</f>
        <v/>
      </c>
      <c r="I29" s="56">
        <f>IF(OR($F28="",$F30=""),"",($F30-$F28)/(2*$C$8))</f>
        <v/>
      </c>
      <c r="K29" s="65" t="inlineStr">
        <is>
          <t>EXAMPLE — what a filled-in tape looks like. Do not type here.</t>
        </is>
      </c>
    </row>
    <row r="30" ht="15" customHeight="1" s="35">
      <c r="A30" s="50" t="n">
        <v>17</v>
      </c>
      <c r="B30" s="51">
        <f>IF($C$7="","",A30/$C$7)</f>
        <v/>
      </c>
      <c r="C30" s="52" t="n"/>
      <c r="D30" s="52" t="n"/>
      <c r="E30" s="52" t="n"/>
      <c r="F30" s="42">
        <f>IF(C30="","",C30/100)</f>
        <v/>
      </c>
      <c r="G30" s="42">
        <f>IF(D30="","",D30/100)</f>
        <v/>
      </c>
      <c r="H30" s="42">
        <f>IF(E30="","",E30/100)</f>
        <v/>
      </c>
      <c r="I30" s="56">
        <f>IF(OR($F29="",$F31=""),"",($F31-$F29)/(2*$C$8))</f>
        <v/>
      </c>
      <c r="K30" s="66" t="inlineStr">
        <is>
          <t>Dot #</t>
        </is>
      </c>
      <c r="L30" s="66" t="inlineStr">
        <is>
          <t>Distance (cm)</t>
        </is>
      </c>
    </row>
    <row r="31" ht="15" customHeight="1" s="35">
      <c r="A31" s="50" t="n">
        <v>18</v>
      </c>
      <c r="B31" s="51">
        <f>IF($C$7="","",A31/$C$7)</f>
        <v/>
      </c>
      <c r="C31" s="52" t="n"/>
      <c r="D31" s="52" t="n"/>
      <c r="E31" s="52" t="n"/>
      <c r="F31" s="42">
        <f>IF(C31="","",C31/100)</f>
        <v/>
      </c>
      <c r="G31" s="42">
        <f>IF(D31="","",D31/100)</f>
        <v/>
      </c>
      <c r="H31" s="42">
        <f>IF(E31="","",E31/100)</f>
        <v/>
      </c>
      <c r="I31" s="56">
        <f>IF(OR($F30="",$F32=""),"",($F32-$F30)/(2*$C$8))</f>
        <v/>
      </c>
      <c r="K31" s="67" t="n">
        <v>0</v>
      </c>
      <c r="L31" s="68" t="n">
        <v>0</v>
      </c>
    </row>
    <row r="32" ht="15" customHeight="1" s="35">
      <c r="A32" s="50" t="n">
        <v>19</v>
      </c>
      <c r="B32" s="51">
        <f>IF($C$7="","",A32/$C$7)</f>
        <v/>
      </c>
      <c r="C32" s="52" t="n"/>
      <c r="D32" s="52" t="n"/>
      <c r="E32" s="52" t="n"/>
      <c r="F32" s="42">
        <f>IF(C32="","",C32/100)</f>
        <v/>
      </c>
      <c r="G32" s="42">
        <f>IF(D32="","",D32/100)</f>
        <v/>
      </c>
      <c r="H32" s="42">
        <f>IF(E32="","",E32/100)</f>
        <v/>
      </c>
      <c r="I32" s="56">
        <f>IF(OR($F31="",$F33=""),"",($F33-$F31)/(2*$C$8))</f>
        <v/>
      </c>
      <c r="K32" s="67" t="n">
        <v>1</v>
      </c>
      <c r="L32" s="68" t="n">
        <v>2.1</v>
      </c>
    </row>
    <row r="33" ht="15" customHeight="1" s="35">
      <c r="A33" s="50" t="n">
        <v>20</v>
      </c>
      <c r="B33" s="51">
        <f>IF($C$7="","",A33/$C$7)</f>
        <v/>
      </c>
      <c r="C33" s="52" t="n"/>
      <c r="D33" s="52" t="n"/>
      <c r="E33" s="52" t="n"/>
      <c r="F33" s="42">
        <f>IF(C33="","",C33/100)</f>
        <v/>
      </c>
      <c r="G33" s="42">
        <f>IF(D33="","",D33/100)</f>
        <v/>
      </c>
      <c r="H33" s="42">
        <f>IF(E33="","",E33/100)</f>
        <v/>
      </c>
      <c r="I33" s="56">
        <f>IF(OR($F32="",$F34=""),"",($F34-$F32)/(2*$C$8))</f>
        <v/>
      </c>
      <c r="K33" s="67" t="n">
        <v>2</v>
      </c>
      <c r="L33" s="68" t="n">
        <v>3.9</v>
      </c>
    </row>
    <row r="34" ht="15" customHeight="1" s="35">
      <c r="A34" s="50" t="n">
        <v>21</v>
      </c>
      <c r="B34" s="51">
        <f>IF($C$7="","",A34/$C$7)</f>
        <v/>
      </c>
      <c r="C34" s="52" t="n"/>
      <c r="D34" s="52" t="n"/>
      <c r="E34" s="52" t="n"/>
      <c r="F34" s="42">
        <f>IF(C34="","",C34/100)</f>
        <v/>
      </c>
      <c r="G34" s="42">
        <f>IF(D34="","",D34/100)</f>
        <v/>
      </c>
      <c r="H34" s="42">
        <f>IF(E34="","",E34/100)</f>
        <v/>
      </c>
      <c r="I34" s="56">
        <f>IF(OR($F33="",$F35=""),"",($F35-$F33)/(2*$C$8))</f>
        <v/>
      </c>
      <c r="K34" s="67" t="n">
        <v>3</v>
      </c>
      <c r="L34" s="68" t="n">
        <v>6.1</v>
      </c>
    </row>
    <row r="35" ht="15" customHeight="1" s="35">
      <c r="A35" s="50" t="n">
        <v>22</v>
      </c>
      <c r="B35" s="51">
        <f>IF($C$7="","",A35/$C$7)</f>
        <v/>
      </c>
      <c r="C35" s="52" t="n"/>
      <c r="D35" s="52" t="n"/>
      <c r="E35" s="52" t="n"/>
      <c r="F35" s="42">
        <f>IF(C35="","",C35/100)</f>
        <v/>
      </c>
      <c r="G35" s="42">
        <f>IF(D35="","",D35/100)</f>
        <v/>
      </c>
      <c r="H35" s="42">
        <f>IF(E35="","",E35/100)</f>
        <v/>
      </c>
      <c r="I35" s="56">
        <f>IF(OR($F34="",$F36=""),"",($F36-$F34)/(2*$C$8))</f>
        <v/>
      </c>
      <c r="K35" s="67" t="n">
        <v>4</v>
      </c>
      <c r="L35" s="68" t="n">
        <v>8.9</v>
      </c>
    </row>
    <row r="36" ht="15" customHeight="1" s="35">
      <c r="A36" s="50" t="n">
        <v>23</v>
      </c>
      <c r="B36" s="51">
        <f>IF($C$7="","",A36/$C$7)</f>
        <v/>
      </c>
      <c r="C36" s="52" t="n"/>
      <c r="D36" s="52" t="n"/>
      <c r="E36" s="52" t="n"/>
      <c r="F36" s="42">
        <f>IF(C36="","",C36/100)</f>
        <v/>
      </c>
      <c r="G36" s="42">
        <f>IF(D36="","",D36/100)</f>
        <v/>
      </c>
      <c r="H36" s="42">
        <f>IF(E36="","",E36/100)</f>
        <v/>
      </c>
      <c r="I36" s="56">
        <f>IF(OR($F35="",$F37=""),"",($F37-$F35)/(2*$C$8))</f>
        <v/>
      </c>
      <c r="K36" s="67" t="n">
        <v>5</v>
      </c>
      <c r="L36" s="68" t="n">
        <v>12.2</v>
      </c>
    </row>
    <row r="37" ht="15" customHeight="1" s="35">
      <c r="A37" s="50" t="n">
        <v>24</v>
      </c>
      <c r="B37" s="51">
        <f>IF($C$7="","",A37/$C$7)</f>
        <v/>
      </c>
      <c r="C37" s="52" t="n"/>
      <c r="D37" s="52" t="n"/>
      <c r="E37" s="52" t="n"/>
      <c r="F37" s="42">
        <f>IF(C37="","",C37/100)</f>
        <v/>
      </c>
      <c r="G37" s="42">
        <f>IF(D37="","",D37/100)</f>
        <v/>
      </c>
      <c r="H37" s="42">
        <f>IF(E37="","",E37/100)</f>
        <v/>
      </c>
      <c r="I37" s="56">
        <f>IF(OR($F36="",$F38=""),"",($F38-$F36)/(2*$C$8))</f>
        <v/>
      </c>
      <c r="K37" s="60" t="inlineStr">
        <is>
          <t>Gaps widen steadily as the mass speeds up. If yours do not, the tape bound — run another.</t>
        </is>
      </c>
    </row>
    <row r="38" ht="15" customHeight="1" s="35">
      <c r="A38" s="50" t="n">
        <v>25</v>
      </c>
      <c r="B38" s="51">
        <f>IF($C$7="","",A38/$C$7)</f>
        <v/>
      </c>
      <c r="C38" s="52" t="n"/>
      <c r="D38" s="52" t="n"/>
      <c r="E38" s="52" t="n"/>
      <c r="F38" s="42">
        <f>IF(C38="","",C38/100)</f>
        <v/>
      </c>
      <c r="G38" s="42">
        <f>IF(D38="","",D38/100)</f>
        <v/>
      </c>
      <c r="H38" s="42">
        <f>IF(E38="","",E38/100)</f>
        <v/>
      </c>
      <c r="I38" s="56">
        <f>IF(OR($F37="",$F39=""),"",($F39-$F37)/(2*$C$8))</f>
        <v/>
      </c>
    </row>
    <row r="39" ht="15" customHeight="1" s="35">
      <c r="A39" s="50" t="n">
        <v>26</v>
      </c>
      <c r="B39" s="51">
        <f>IF($C$7="","",A39/$C$7)</f>
        <v/>
      </c>
      <c r="C39" s="52" t="n"/>
      <c r="D39" s="52" t="n"/>
      <c r="E39" s="52" t="n"/>
      <c r="F39" s="42">
        <f>IF(C39="","",C39/100)</f>
        <v/>
      </c>
      <c r="G39" s="42">
        <f>IF(D39="","",D39/100)</f>
        <v/>
      </c>
      <c r="H39" s="42">
        <f>IF(E39="","",E39/100)</f>
        <v/>
      </c>
      <c r="I39" s="56">
        <f>IF(OR($F38="",$F40=""),"",($F40-$F38)/(2*$C$8))</f>
        <v/>
      </c>
    </row>
    <row r="40" ht="15" customHeight="1" s="35">
      <c r="A40" s="50" t="n">
        <v>27</v>
      </c>
      <c r="B40" s="51">
        <f>IF($C$7="","",A40/$C$7)</f>
        <v/>
      </c>
      <c r="C40" s="52" t="n"/>
      <c r="D40" s="52" t="n"/>
      <c r="E40" s="52" t="n"/>
      <c r="F40" s="42">
        <f>IF(C40="","",C40/100)</f>
        <v/>
      </c>
      <c r="G40" s="42">
        <f>IF(D40="","",D40/100)</f>
        <v/>
      </c>
      <c r="H40" s="42">
        <f>IF(E40="","",E40/100)</f>
        <v/>
      </c>
      <c r="I40" s="56">
        <f>IF(OR($F39="",$F41=""),"",($F41-$F39)/(2*$C$8))</f>
        <v/>
      </c>
    </row>
    <row r="41" ht="15" customHeight="1" s="35">
      <c r="A41" s="50" t="n">
        <v>28</v>
      </c>
      <c r="B41" s="51">
        <f>IF($C$7="","",A41/$C$7)</f>
        <v/>
      </c>
      <c r="C41" s="52" t="n"/>
      <c r="D41" s="52" t="n"/>
      <c r="E41" s="52" t="n"/>
      <c r="F41" s="42">
        <f>IF(C41="","",C41/100)</f>
        <v/>
      </c>
      <c r="G41" s="42">
        <f>IF(D41="","",D41/100)</f>
        <v/>
      </c>
      <c r="H41" s="42">
        <f>IF(E41="","",E41/100)</f>
        <v/>
      </c>
      <c r="I41" s="56">
        <f>IF(OR($F40="",$F42=""),"",($F42-$F40)/(2*$C$8))</f>
        <v/>
      </c>
    </row>
    <row r="42" ht="15" customHeight="1" s="35">
      <c r="A42" s="50" t="n">
        <v>29</v>
      </c>
      <c r="B42" s="51">
        <f>IF($C$7="","",A42/$C$7)</f>
        <v/>
      </c>
      <c r="C42" s="52" t="n"/>
      <c r="D42" s="52" t="n"/>
      <c r="E42" s="52" t="n"/>
      <c r="F42" s="42">
        <f>IF(C42="","",C42/100)</f>
        <v/>
      </c>
      <c r="G42" s="42">
        <f>IF(D42="","",D42/100)</f>
        <v/>
      </c>
      <c r="H42" s="42">
        <f>IF(E42="","",E42/100)</f>
        <v/>
      </c>
      <c r="I42" s="56">
        <f>IF(OR($F41="",$F43=""),"",($F43-$F41)/(2*$C$8))</f>
        <v/>
      </c>
    </row>
    <row r="43" ht="15" customHeight="1" s="35">
      <c r="A43" s="50" t="n">
        <v>30</v>
      </c>
      <c r="B43" s="51">
        <f>IF($C$7="","",A43/$C$7)</f>
        <v/>
      </c>
      <c r="C43" s="52" t="n"/>
      <c r="D43" s="52" t="n"/>
      <c r="E43" s="52" t="n"/>
      <c r="F43" s="42">
        <f>IF(C43="","",C43/100)</f>
        <v/>
      </c>
      <c r="G43" s="42">
        <f>IF(D43="","",D43/100)</f>
        <v/>
      </c>
      <c r="H43" s="42">
        <f>IF(E43="","",E43/100)</f>
        <v/>
      </c>
      <c r="I43" s="53" t="n"/>
    </row>
    <row r="45" ht="15" customHeight="1" s="35">
      <c r="A45" s="60" t="inlineStr">
        <is>
          <t>Measure from dot 0 to each dot — not dot to dot. Leave a row blank if you did not measure that dot; the sheet ignores empty rows.</t>
        </is>
      </c>
    </row>
  </sheetData>
  <mergeCells count="4">
    <mergeCell ref="A8:B8"/>
    <mergeCell ref="B10:C10"/>
    <mergeCell ref="D10:E10"/>
    <mergeCell ref="A7:B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2026-09-21T03:58:41Z</dcterms:created>
  <dcterms:modified xmlns:dcterms="http://purl.org/dc/terms/" xmlns:xsi="http://www.w3.org/2001/XMLSchema-instance" xsi:type="dcterms:W3CDTF">2026-09-21T17:52:46Z</dcterms:modified>
  <cp:revision>0</cp:revision>
</cp:coreProperties>
</file>