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ab 8 Analysis" sheetId="2" state="visible" r:id="rId2"/>
    <sheet xmlns:r="http://schemas.openxmlformats.org/officeDocument/2006/relationships" name="Worked 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"/>
  </numFmts>
  <fonts count="6">
    <font>
      <name val="Calibri"/>
      <family val="2"/>
      <color theme="1"/>
      <sz val="11"/>
      <scheme val="minor"/>
    </font>
    <font>
      <b val="1"/>
      <color rgb="00134A29"/>
      <sz val="13"/>
    </font>
    <font>
      <i val="1"/>
      <color rgb="005C6B62"/>
      <sz val="9"/>
    </font>
    <font>
      <b val="1"/>
      <color rgb="00FFFFFF"/>
    </font>
    <font>
      <b val="1"/>
    </font>
    <font>
      <b val="1"/>
      <color rgb="00134A29"/>
    </font>
  </fonts>
  <fills count="5">
    <fill>
      <patternFill/>
    </fill>
    <fill>
      <patternFill patternType="gray125"/>
    </fill>
    <fill>
      <patternFill patternType="solid">
        <fgColor rgb="001E6B3C"/>
      </patternFill>
    </fill>
    <fill>
      <patternFill patternType="solid">
        <fgColor rgb="00EAF3ED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7E2DA"/>
      </left>
      <right style="thin">
        <color rgb="00D7E2DA"/>
      </right>
      <top style="thin">
        <color rgb="00D7E2DA"/>
      </top>
      <bottom style="thin">
        <color rgb="00D7E2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2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10" customWidth="1" min="6" max="6"/>
  </cols>
  <sheetData>
    <row r="1">
      <c r="A1" s="1" t="inlineStr">
        <is>
          <t>Lab 8 — Buoyancy · raw data</t>
        </is>
      </c>
    </row>
    <row r="2" ht="46" customHeight="1">
      <c r="A2" s="2" t="inlineStr">
        <is>
          <t>Three dips of one metal cylinder. The mass came from a digital balance; the two weights are spring-scale readings in newtons. Note the precision mismatch: four significant figures on the mass, two at best on the volume rise.</t>
        </is>
      </c>
    </row>
    <row r="4">
      <c r="A4" t="inlineStr">
        <is>
          <t>Mass of metal cylinder (g)</t>
        </is>
      </c>
      <c r="B4" t="n">
        <v>70.5</v>
      </c>
    </row>
    <row r="6" ht="32" customHeight="1">
      <c r="A6" s="3" t="inlineStr">
        <is>
          <t>Trial</t>
        </is>
      </c>
      <c r="B6" s="3" t="inlineStr">
        <is>
          <t>Water before (mL)</t>
        </is>
      </c>
      <c r="C6" s="3" t="inlineStr">
        <is>
          <t>Water after (mL)</t>
        </is>
      </c>
      <c r="D6" s="3" t="inlineStr">
        <is>
          <t>Weight in air (N)</t>
        </is>
      </c>
      <c r="E6" s="3" t="inlineStr">
        <is>
          <t>Weight in water (N)</t>
        </is>
      </c>
      <c r="F6" s="3" t="inlineStr"/>
    </row>
    <row r="7">
      <c r="A7" t="n">
        <v>1</v>
      </c>
      <c r="B7" t="n">
        <v>60</v>
      </c>
      <c r="C7" t="n">
        <v>67</v>
      </c>
      <c r="D7" t="n">
        <v>0.745</v>
      </c>
      <c r="E7" t="n">
        <v>0.68</v>
      </c>
    </row>
    <row r="8">
      <c r="A8" t="n">
        <v>2</v>
      </c>
      <c r="B8" t="n">
        <v>60</v>
      </c>
      <c r="C8" t="n">
        <v>66.5</v>
      </c>
      <c r="D8" t="n">
        <v>0.74</v>
      </c>
      <c r="E8" t="n">
        <v>0.66</v>
      </c>
    </row>
    <row r="9">
      <c r="A9" t="n">
        <v>3</v>
      </c>
      <c r="B9" t="n">
        <v>60</v>
      </c>
      <c r="C9" t="n">
        <v>67</v>
      </c>
      <c r="D9" t="n">
        <v>0.72</v>
      </c>
      <c r="E9" t="n">
        <v>0.67</v>
      </c>
    </row>
    <row r="10">
      <c r="A10" s="4" t="inlineStr">
        <is>
          <t>Average</t>
        </is>
      </c>
      <c r="B10" s="5">
        <f>AVERAGE(B7:B9)</f>
        <v/>
      </c>
      <c r="C10" s="5">
        <f>AVERAGE(C7:C9)</f>
        <v/>
      </c>
      <c r="D10" s="5">
        <f>AVERAGE(D7:D9)</f>
        <v/>
      </c>
      <c r="E10" s="5">
        <f>AVERAGE(E7:E9)</f>
        <v/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Lab 8 — Buoyancy · analysis</t>
        </is>
      </c>
    </row>
    <row r="2" ht="46" customHeight="1">
      <c r="A2" s="2" t="inlineStr">
        <is>
          <t>Shaded amber cells are yours to fill. Everything else is a live formula; do not overtype it. Three routes to the density of water — and only one of them avoids your volume measurement.</t>
        </is>
      </c>
    </row>
    <row r="3">
      <c r="A3" s="4" t="inlineStr">
        <is>
          <t>KEY</t>
        </is>
      </c>
      <c r="B3" s="6" t="inlineStr">
        <is>
          <t>you enter</t>
        </is>
      </c>
      <c r="C3" s="7" t="inlineStr">
        <is>
          <t>computed</t>
        </is>
      </c>
    </row>
    <row r="5">
      <c r="A5" s="8" t="inlineStr">
        <is>
          <t>Inputs</t>
        </is>
      </c>
    </row>
    <row r="6">
      <c r="A6" t="inlineStr">
        <is>
          <t>Mass of metal, M (g)</t>
        </is>
      </c>
      <c r="B6" s="9" t="n"/>
    </row>
    <row r="7">
      <c r="A7" t="inlineStr">
        <is>
          <t>Displaced volume, V (cm^3)</t>
        </is>
      </c>
      <c r="B7" s="9" t="n"/>
    </row>
    <row r="8">
      <c r="A8" t="inlineStr">
        <is>
          <t>Weight in air, T_air (N)</t>
        </is>
      </c>
      <c r="B8" s="9" t="n"/>
    </row>
    <row r="9">
      <c r="A9" t="inlineStr">
        <is>
          <t>Weight in water, T_water (N)</t>
        </is>
      </c>
      <c r="B9" s="9" t="n"/>
    </row>
    <row r="10">
      <c r="A10" t="inlineStr">
        <is>
          <t>Published density of the metal you identified (g/cm^3)</t>
        </is>
      </c>
      <c r="B10" s="9" t="n"/>
    </row>
    <row r="11">
      <c r="C11" s="10" t="inlineStr">
        <is>
          <t>lead 11.34 · copper 8.96 · brass 8.5 · steel 7.85 · aluminium 2.70</t>
        </is>
      </c>
    </row>
    <row r="13">
      <c r="A13" s="8" t="inlineStr">
        <is>
          <t>Results</t>
        </is>
      </c>
    </row>
    <row r="14">
      <c r="A14" t="inlineStr">
        <is>
          <t>Buoyant force F_B = T_air - T_water (N)</t>
        </is>
      </c>
      <c r="B14" s="11">
        <f>IFERROR(B8-B9,"")</f>
        <v/>
      </c>
    </row>
    <row r="15">
      <c r="A15" t="inlineStr">
        <is>
          <t>Density of metal, measured = M/V (g/cm^3)</t>
        </is>
      </c>
      <c r="B15" s="5">
        <f>IFERROR(B6/B7,"")</f>
        <v/>
      </c>
    </row>
    <row r="16">
      <c r="A16" t="inlineStr">
        <is>
          <t>Ratio factor (1 - T_water/T_air)</t>
        </is>
      </c>
      <c r="B16" s="12">
        <f>IFERROR(1-B9/B8,"")</f>
        <v/>
      </c>
    </row>
    <row r="17">
      <c r="A17" t="inlineStr">
        <is>
          <t>ROUTE A: rho_w = F_B/(V*g) (g/cm^3)</t>
        </is>
      </c>
      <c r="B17" s="11">
        <f>IFERROR(B14/(B7/1000000*9.8)/1000,"")</f>
        <v/>
      </c>
    </row>
    <row r="18">
      <c r="A18" t="inlineStr">
        <is>
          <t>ROUTE B: rho_w = rho_metal_measured * factor</t>
        </is>
      </c>
      <c r="B18" s="11">
        <f>IFERROR(B15*B16,"")</f>
        <v/>
      </c>
    </row>
    <row r="19">
      <c r="A19" t="inlineStr">
        <is>
          <t>ROUTE C: rho_w = rho_metal_published * factor</t>
        </is>
      </c>
      <c r="B19" s="11">
        <f>IFERROR(B10*B16,"")</f>
        <v/>
      </c>
    </row>
    <row r="20">
      <c r="A20" t="inlineStr">
        <is>
          <t>% error, Route A</t>
        </is>
      </c>
      <c r="B20" s="13">
        <f>IFERROR(100*(B17-1),"")</f>
        <v/>
      </c>
    </row>
    <row r="21">
      <c r="A21" t="inlineStr">
        <is>
          <t>% error, Route B</t>
        </is>
      </c>
      <c r="B21" s="13">
        <f>IFERROR(100*(B18-1),"")</f>
        <v/>
      </c>
    </row>
    <row r="22">
      <c r="A22" t="inlineStr">
        <is>
          <t>% error, Route C</t>
        </is>
      </c>
      <c r="B22" s="13">
        <f>IFERROR(100*(B19-1),"")</f>
        <v/>
      </c>
    </row>
    <row r="23">
      <c r="A23" t="inlineStr">
        <is>
          <t>Volume that would make Route A exact (cm^3)</t>
        </is>
      </c>
      <c r="B23" s="5">
        <f>IFERROR(B14/(1000*9.8)*1000000,"")</f>
        <v/>
      </c>
    </row>
    <row r="25" ht="48" customHeight="1">
      <c r="A25" s="2" t="inlineStr">
        <is>
          <t>Routes A and B BOTH contain your displaced volume — A directly, B hidden inside rho_metal = M/V — so they fail together and their agreement proves nothing. Route C is the only one independent of it. The last row tells you what volume Route A would have needed; compare it against what you measured. That is AQ1.</t>
        </is>
      </c>
    </row>
  </sheetData>
  <mergeCells count="2">
    <mergeCell ref="A2:F2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Lab 8 — Buoyancy · analysis</t>
        </is>
      </c>
    </row>
    <row r="2" ht="46" customHeight="1">
      <c r="A2" s="2" t="inlineStr">
        <is>
          <t>Filled with the averages so you can see the shape of a finished analysis.</t>
        </is>
      </c>
    </row>
    <row r="3">
      <c r="A3" s="4" t="inlineStr">
        <is>
          <t>KEY</t>
        </is>
      </c>
      <c r="B3" s="6" t="inlineStr">
        <is>
          <t>you enter</t>
        </is>
      </c>
      <c r="C3" s="7" t="inlineStr">
        <is>
          <t>computed</t>
        </is>
      </c>
    </row>
    <row r="5">
      <c r="A5" s="8" t="inlineStr">
        <is>
          <t>Inputs</t>
        </is>
      </c>
    </row>
    <row r="6">
      <c r="A6" t="inlineStr">
        <is>
          <t>Mass of metal, M (g)</t>
        </is>
      </c>
      <c r="B6" s="9" t="n">
        <v>70.5</v>
      </c>
    </row>
    <row r="7">
      <c r="A7" t="inlineStr">
        <is>
          <t>Displaced volume, V (cm^3)</t>
        </is>
      </c>
      <c r="B7" s="9" t="n">
        <v>6.83</v>
      </c>
    </row>
    <row r="8">
      <c r="A8" t="inlineStr">
        <is>
          <t>Weight in air, T_air (N)</t>
        </is>
      </c>
      <c r="B8" s="9" t="n">
        <v>0.735</v>
      </c>
    </row>
    <row r="9">
      <c r="A9" t="inlineStr">
        <is>
          <t>Weight in water, T_water (N)</t>
        </is>
      </c>
      <c r="B9" s="9" t="n">
        <v>0.67</v>
      </c>
    </row>
    <row r="10">
      <c r="A10" t="inlineStr">
        <is>
          <t>Published density of the metal you identified (g/cm^3)</t>
        </is>
      </c>
      <c r="B10" s="9" t="n">
        <v>11.34</v>
      </c>
    </row>
    <row r="11">
      <c r="C11" s="10" t="inlineStr">
        <is>
          <t>lead 11.34 · copper 8.96 · brass 8.5 · steel 7.85 · aluminium 2.70</t>
        </is>
      </c>
    </row>
    <row r="13">
      <c r="A13" s="8" t="inlineStr">
        <is>
          <t>Results</t>
        </is>
      </c>
    </row>
    <row r="14">
      <c r="A14" t="inlineStr">
        <is>
          <t>Buoyant force F_B = T_air - T_water (N)</t>
        </is>
      </c>
      <c r="B14" s="11">
        <f>IFERROR(B8-B9,"")</f>
        <v/>
      </c>
    </row>
    <row r="15">
      <c r="A15" t="inlineStr">
        <is>
          <t>Density of metal, measured = M/V (g/cm^3)</t>
        </is>
      </c>
      <c r="B15" s="5">
        <f>IFERROR(B6/B7,"")</f>
        <v/>
      </c>
    </row>
    <row r="16">
      <c r="A16" t="inlineStr">
        <is>
          <t>Ratio factor (1 - T_water/T_air)</t>
        </is>
      </c>
      <c r="B16" s="12">
        <f>IFERROR(1-B9/B8,"")</f>
        <v/>
      </c>
    </row>
    <row r="17">
      <c r="A17" t="inlineStr">
        <is>
          <t>ROUTE A: rho_w = F_B/(V*g) (g/cm^3)</t>
        </is>
      </c>
      <c r="B17" s="11">
        <f>IFERROR(B14/(B7/1000000*9.8)/1000,"")</f>
        <v/>
      </c>
    </row>
    <row r="18">
      <c r="A18" t="inlineStr">
        <is>
          <t>ROUTE B: rho_w = rho_metal_measured * factor</t>
        </is>
      </c>
      <c r="B18" s="11">
        <f>IFERROR(B15*B16,"")</f>
        <v/>
      </c>
    </row>
    <row r="19">
      <c r="A19" t="inlineStr">
        <is>
          <t>ROUTE C: rho_w = rho_metal_published * factor</t>
        </is>
      </c>
      <c r="B19" s="11">
        <f>IFERROR(B10*B16,"")</f>
        <v/>
      </c>
    </row>
    <row r="20">
      <c r="A20" t="inlineStr">
        <is>
          <t>% error, Route A</t>
        </is>
      </c>
      <c r="B20" s="13">
        <f>IFERROR(100*(B17-1),"")</f>
        <v/>
      </c>
    </row>
    <row r="21">
      <c r="A21" t="inlineStr">
        <is>
          <t>% error, Route B</t>
        </is>
      </c>
      <c r="B21" s="13">
        <f>IFERROR(100*(B18-1),"")</f>
        <v/>
      </c>
    </row>
    <row r="22">
      <c r="A22" t="inlineStr">
        <is>
          <t>% error, Route C</t>
        </is>
      </c>
      <c r="B22" s="13">
        <f>IFERROR(100*(B19-1),"")</f>
        <v/>
      </c>
    </row>
    <row r="23">
      <c r="A23" t="inlineStr">
        <is>
          <t>Volume that would make Route A exact (cm^3)</t>
        </is>
      </c>
      <c r="B23" s="5">
        <f>IFERROR(B14/(1000*9.8)*1000000,"")</f>
        <v/>
      </c>
    </row>
    <row r="25" ht="48" customHeight="1">
      <c r="A25" s="2" t="inlineStr">
        <is>
          <t>Routes A and B BOTH contain your displaced volume — A directly, B hidden inside rho_metal = M/V — so they fail together and their agreement proves nothing. Route C is the only one independent of it. The last row tells you what volume Route A would have needed; compare it against what you measured. That is AQ1.</t>
        </is>
      </c>
    </row>
  </sheetData>
  <mergeCells count="2">
    <mergeCell ref="A2:F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2026-10-23T04:40:54Z</dcterms:created>
  <dcterms:modified xmlns:dcterms="http://purl.org/dc/terms/" xmlns:xsi="http://www.w3.org/2001/XMLSchema-instance" xsi:type="dcterms:W3CDTF">2026-10-23T04:40:54Z</dcterms:modified>
</cp:coreProperties>
</file>