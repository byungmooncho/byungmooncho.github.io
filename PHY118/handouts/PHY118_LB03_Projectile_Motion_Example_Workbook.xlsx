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b 3 Data" sheetId="1" state="visible" r:id="rId1"/>
    <sheet xmlns:r="http://schemas.openxmlformats.org/officeDocument/2006/relationships" name="Worked Exampl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3D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7F7F7F"/>
      <sz val="8.5"/>
    </font>
  </fonts>
  <fills count="4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7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1" min="1" max="1"/>
    <col width="22" customWidth="1" style="11" min="2" max="4"/>
    <col width="16" customWidth="1" style="11" min="5" max="5"/>
    <col width="13" customWidth="1" style="11" min="6" max="6"/>
    <col width="20" customWidth="1" style="11" min="7" max="7"/>
    <col width="15" customWidth="1" style="11" min="8" max="8"/>
    <col width="16" customWidth="1" style="11" min="10" max="10"/>
    <col width="20" customWidth="1" style="11" min="11" max="11"/>
  </cols>
  <sheetData>
    <row r="1" ht="16.15" customHeight="1" s="12">
      <c r="A1" s="13" t="inlineStr">
        <is>
          <t>PHY 118  ·  Lab 3 — Projectile Motion: Predicting Where the Ball Lands</t>
        </is>
      </c>
    </row>
    <row r="2" ht="15" customHeight="1" s="12">
      <c r="A2" s="14" t="inlineStr">
        <is>
          <t>Type only in the shaded cells. Everything else calculates itself. Units are metres and seconds throughout.</t>
        </is>
      </c>
    </row>
    <row r="3"/>
    <row r="4" ht="15" customHeight="1" s="12">
      <c r="A4" s="15" t="inlineStr">
        <is>
          <t>Name</t>
        </is>
      </c>
      <c r="B4" s="16" t="n"/>
      <c r="D4" s="15" t="inlineStr">
        <is>
          <t>Partner</t>
        </is>
      </c>
      <c r="E4" s="16" t="n"/>
    </row>
    <row r="5" ht="15" customHeight="1" s="12">
      <c r="A5" s="15" t="inlineStr">
        <is>
          <t>Section</t>
        </is>
      </c>
      <c r="B5" s="16" t="n"/>
      <c r="D5" s="15" t="inlineStr">
        <is>
          <t>Date</t>
        </is>
      </c>
      <c r="E5" s="16" t="n"/>
    </row>
    <row r="6"/>
    <row r="7" ht="15" customHeight="1" s="12">
      <c r="A7" s="15" t="inlineStr">
        <is>
          <t>Accepted g  (m/s²)</t>
        </is>
      </c>
      <c r="C7" s="17" t="n">
        <v>9.800000000000001</v>
      </c>
      <c r="D7" s="18" t="inlineStr">
        <is>
          <t>PHY 118 uses 9.80 m/s², the same value as Lab 02. Keep it consistent everywhere in your report.</t>
        </is>
      </c>
    </row>
    <row r="8"/>
    <row r="9" ht="15" customHeight="1" s="12">
      <c r="A9" s="15" t="inlineStr">
        <is>
          <t>KEY</t>
        </is>
      </c>
      <c r="B9" s="17" t="inlineStr">
        <is>
          <t xml:space="preserve">  shaded = you type here  </t>
        </is>
      </c>
      <c r="D9" s="19" t="inlineStr">
        <is>
          <t xml:space="preserve">  white = calculated, do not type  </t>
        </is>
      </c>
    </row>
    <row r="10"/>
    <row r="11" ht="16.15" customHeight="1" s="12">
      <c r="A11" s="13" t="inlineStr">
        <is>
          <t>Part I — Calibration run (one height, five or more trials)</t>
        </is>
      </c>
    </row>
    <row r="12" ht="15" customHeight="1" s="12">
      <c r="A12" s="15" t="inlineStr">
        <is>
          <t>Launch height  h₀  (m)</t>
        </is>
      </c>
      <c r="C12" s="17" t="n"/>
    </row>
    <row r="13" ht="15" customHeight="1" s="12">
      <c r="A13" s="15" t="inlineStr">
        <is>
          <t>Uncertainty in the height  δh₀  (m)</t>
        </is>
      </c>
      <c r="C13" s="17" t="n"/>
    </row>
    <row r="14"/>
    <row r="15" ht="15" customHeight="1" s="12">
      <c r="A15" s="20" t="inlineStr">
        <is>
          <t>Trial</t>
        </is>
      </c>
      <c r="B15" s="20" t="inlineStr">
        <is>
          <t>Landing distance  d  (m)</t>
        </is>
      </c>
    </row>
    <row r="16" ht="15" customHeight="1" s="12">
      <c r="A16" s="21" t="n">
        <v>1</v>
      </c>
      <c r="B16" s="17" t="n"/>
    </row>
    <row r="17" ht="15" customHeight="1" s="12">
      <c r="A17" s="21" t="n">
        <v>2</v>
      </c>
      <c r="B17" s="17" t="n"/>
    </row>
    <row r="18" ht="15" customHeight="1" s="12">
      <c r="A18" s="21" t="n">
        <v>3</v>
      </c>
      <c r="B18" s="17" t="n"/>
    </row>
    <row r="19" ht="15" customHeight="1" s="12">
      <c r="A19" s="21" t="n">
        <v>4</v>
      </c>
      <c r="B19" s="17" t="n"/>
    </row>
    <row r="20" ht="15" customHeight="1" s="12">
      <c r="A20" s="21" t="n">
        <v>5</v>
      </c>
      <c r="B20" s="17" t="n"/>
    </row>
    <row r="21" ht="15" customHeight="1" s="12">
      <c r="A21" s="21" t="n">
        <v>6</v>
      </c>
      <c r="B21" s="17" t="n"/>
    </row>
    <row r="22" ht="15" customHeight="1" s="12">
      <c r="A22" s="21" t="n">
        <v>7</v>
      </c>
      <c r="B22" s="17" t="n"/>
    </row>
    <row r="23"/>
    <row r="24" ht="15" customHeight="1" s="12">
      <c r="A24" s="15" t="inlineStr">
        <is>
          <t>N (trials)</t>
        </is>
      </c>
      <c r="C24" s="19">
        <f>IF(COUNT(B16:B22)=0,"",COUNT(B16:B22))</f>
        <v/>
      </c>
    </row>
    <row r="25" ht="15" customHeight="1" s="12">
      <c r="A25" s="15" t="inlineStr">
        <is>
          <t>Mean  d̄₀  (m)</t>
        </is>
      </c>
      <c r="C25" s="19">
        <f>IF(COUNT(B16:B22)=0,"",AVERAGE(B16:B22))</f>
        <v/>
      </c>
    </row>
    <row r="26" ht="15" customHeight="1" s="12">
      <c r="A26" s="15" t="inlineStr">
        <is>
          <t>Standard deviation  s  (m)</t>
        </is>
      </c>
      <c r="C26" s="19">
        <f>IF(COUNT(B16:B22)&lt;2,"",STDEV(B16:B22))</f>
        <v/>
      </c>
    </row>
    <row r="27" ht="15" customHeight="1" s="12">
      <c r="A27" s="15" t="inlineStr">
        <is>
          <t>Standard error of the mean  δd  (m)</t>
        </is>
      </c>
      <c r="C27" s="19">
        <f>IF(OR(C26="",C24=""),"",C26/SQRT(C24))</f>
        <v/>
      </c>
    </row>
    <row r="28" ht="15" customHeight="1" s="12">
      <c r="A28" s="15" t="n"/>
      <c r="C28" s="19" t="n"/>
    </row>
    <row r="29" ht="15" customHeight="1" s="12">
      <c r="A29" s="15" t="inlineStr">
        <is>
          <t>Launch speed  v₀ = d̄₀·√(g/2h₀)   (m/s)</t>
        </is>
      </c>
      <c r="C29" s="19">
        <f>IF(OR($C$25="",$C$12="",$C$12=0),"",$C$25*SQRT($C$7/(2*$C$12)))</f>
        <v/>
      </c>
    </row>
    <row r="30" ht="15" customHeight="1" s="12">
      <c r="A30" s="15" t="inlineStr">
        <is>
          <t>Relative uncertainty  δv₀/v₀</t>
        </is>
      </c>
      <c r="C30" s="19">
        <f>IF(OR(C27="",C25="",C25=0,C13="",C12="",C12=0),"",SQRT((C27/C25)^2+(0.5*C13/C12)^2))</f>
        <v/>
      </c>
      <c r="D30" s="18" t="inlineStr">
        <is>
          <t>δv₀/v₀ = √[(δd/d̄)² + (½·δh/h)²] — the ½ is there because v₀ depends on h to the power −½. An error in the height costs you half as much as the same relative error in the distance.</t>
        </is>
      </c>
    </row>
    <row r="31" ht="15" customHeight="1" s="12">
      <c r="A31" s="15" t="inlineStr">
        <is>
          <t>Uncertainty  δv₀  (m/s)</t>
        </is>
      </c>
      <c r="C31" s="19">
        <f>IF(OR(C29="",C30=""),"",C29*C30)</f>
        <v/>
      </c>
    </row>
    <row r="32"/>
    <row r="33"/>
    <row r="34" ht="16.15" customHeight="1" s="12">
      <c r="A34" s="13" t="inlineStr">
        <is>
          <t>Parts II and III — every launch height you test</t>
        </is>
      </c>
      <c r="J34" s="13" t="inlineStr">
        <is>
          <t>Theory curve</t>
        </is>
      </c>
    </row>
    <row r="35" ht="33.75" customHeight="1" s="12">
      <c r="A35" s="22" t="inlineStr">
        <is>
          <t>Height  h  (m)</t>
        </is>
      </c>
      <c r="B35" s="22" t="inlineStr">
        <is>
          <t>Predicted  d  (m)
= v₀√(2h/g)</t>
        </is>
      </c>
      <c r="C35" s="22" t="inlineStr">
        <is>
          <t>Cross-check  d  (m)
= d̄₀√(h/h₀)</t>
        </is>
      </c>
      <c r="D35" s="22" t="inlineStr">
        <is>
          <t>Measured mean  d  (m)</t>
        </is>
      </c>
      <c r="E35" s="22" t="inlineStr">
        <is>
          <t>SEM  δd  (m)</t>
        </is>
      </c>
      <c r="F35" s="22" t="inlineStr">
        <is>
          <t>In the cup?</t>
        </is>
      </c>
      <c r="G35" s="22" t="inlineStr">
        <is>
          <t>Signed difference (%)</t>
        </is>
      </c>
      <c r="H35" s="22" t="inlineStr">
        <is>
          <t>% difference</t>
        </is>
      </c>
      <c r="J35" s="20" t="inlineStr">
        <is>
          <t>Height  h  (m)</t>
        </is>
      </c>
      <c r="K35" s="20" t="inlineStr">
        <is>
          <t>Predicted  d  (m)</t>
        </is>
      </c>
    </row>
    <row r="36" ht="15" customHeight="1" s="12">
      <c r="A36" s="17" t="n"/>
      <c r="B36" s="19">
        <f>IF(OR(A36="",$C$29=""),"",$C$29*SQRT(2*A36/$C$7))</f>
        <v/>
      </c>
      <c r="C36" s="19">
        <f>IF(OR(A36="",$C$25="",$C$12="",$C$12=0),"",$C$25*SQRT(A36/$C$12))</f>
        <v/>
      </c>
      <c r="D36" s="17" t="n"/>
      <c r="E36" s="17" t="n"/>
      <c r="F36" s="17" t="n"/>
      <c r="G36" s="19">
        <f>IF(OR(B36="",D36="",B36=0),"",(D36-B36)/B36*100)</f>
        <v/>
      </c>
      <c r="H36" s="19">
        <f>IF(G36="","",ABS(G36))</f>
        <v/>
      </c>
      <c r="J36" s="19" t="n">
        <v>0</v>
      </c>
      <c r="K36" s="19">
        <f>IF($C$29="","",$C$29*SQRT(2*J36/$C$7))</f>
        <v/>
      </c>
    </row>
    <row r="37" ht="15" customHeight="1" s="12">
      <c r="A37" s="17" t="n"/>
      <c r="B37" s="19">
        <f>IF(OR(A37="",$C$29=""),"",$C$29*SQRT(2*A37/$C$7))</f>
        <v/>
      </c>
      <c r="C37" s="19">
        <f>IF(OR(A37="",$C$25="",$C$12="",$C$12=0),"",$C$25*SQRT(A37/$C$12))</f>
        <v/>
      </c>
      <c r="D37" s="17" t="n"/>
      <c r="E37" s="17" t="n"/>
      <c r="F37" s="17" t="n"/>
      <c r="G37" s="19">
        <f>IF(OR(B37="",D37="",B37=0),"",(D37-B37)/B37*100)</f>
        <v/>
      </c>
      <c r="H37" s="19">
        <f>IF(G37="","",ABS(G37))</f>
        <v/>
      </c>
      <c r="J37" s="19" t="n">
        <v>0.05</v>
      </c>
      <c r="K37" s="19">
        <f>IF($C$29="","",$C$29*SQRT(2*J37/$C$7))</f>
        <v/>
      </c>
    </row>
    <row r="38" ht="15" customHeight="1" s="12">
      <c r="A38" s="17" t="n"/>
      <c r="B38" s="19">
        <f>IF(OR(A38="",$C$29=""),"",$C$29*SQRT(2*A38/$C$7))</f>
        <v/>
      </c>
      <c r="C38" s="19">
        <f>IF(OR(A38="",$C$25="",$C$12="",$C$12=0),"",$C$25*SQRT(A38/$C$12))</f>
        <v/>
      </c>
      <c r="D38" s="17" t="n"/>
      <c r="E38" s="17" t="n"/>
      <c r="F38" s="17" t="n"/>
      <c r="G38" s="19">
        <f>IF(OR(B38="",D38="",B38=0),"",(D38-B38)/B38*100)</f>
        <v/>
      </c>
      <c r="H38" s="19">
        <f>IF(G38="","",ABS(G38))</f>
        <v/>
      </c>
      <c r="J38" s="19" t="n">
        <v>0.1</v>
      </c>
      <c r="K38" s="19">
        <f>IF($C$29="","",$C$29*SQRT(2*J38/$C$7))</f>
        <v/>
      </c>
    </row>
    <row r="39" ht="15" customHeight="1" s="12">
      <c r="A39" s="17" t="n"/>
      <c r="B39" s="19">
        <f>IF(OR(A39="",$C$29=""),"",$C$29*SQRT(2*A39/$C$7))</f>
        <v/>
      </c>
      <c r="C39" s="19">
        <f>IF(OR(A39="",$C$25="",$C$12="",$C$12=0),"",$C$25*SQRT(A39/$C$12))</f>
        <v/>
      </c>
      <c r="D39" s="17" t="n"/>
      <c r="E39" s="17" t="n"/>
      <c r="F39" s="17" t="n"/>
      <c r="G39" s="19">
        <f>IF(OR(B39="",D39="",B39=0),"",(D39-B39)/B39*100)</f>
        <v/>
      </c>
      <c r="H39" s="19">
        <f>IF(G39="","",ABS(G39))</f>
        <v/>
      </c>
      <c r="J39" s="19" t="n">
        <v>0.15</v>
      </c>
      <c r="K39" s="19">
        <f>IF($C$29="","",$C$29*SQRT(2*J39/$C$7))</f>
        <v/>
      </c>
    </row>
    <row r="40" ht="15" customHeight="1" s="12">
      <c r="A40" s="17" t="n"/>
      <c r="B40" s="19">
        <f>IF(OR(A40="",$C$29=""),"",$C$29*SQRT(2*A40/$C$7))</f>
        <v/>
      </c>
      <c r="C40" s="19">
        <f>IF(OR(A40="",$C$25="",$C$12="",$C$12=0),"",$C$25*SQRT(A40/$C$12))</f>
        <v/>
      </c>
      <c r="D40" s="17" t="n"/>
      <c r="E40" s="17" t="n"/>
      <c r="F40" s="17" t="n"/>
      <c r="G40" s="19">
        <f>IF(OR(B40="",D40="",B40=0),"",(D40-B40)/B40*100)</f>
        <v/>
      </c>
      <c r="H40" s="19">
        <f>IF(G40="","",ABS(G40))</f>
        <v/>
      </c>
      <c r="J40" s="19" t="n">
        <v>0.2</v>
      </c>
      <c r="K40" s="19">
        <f>IF($C$29="","",$C$29*SQRT(2*J40/$C$7))</f>
        <v/>
      </c>
    </row>
    <row r="41" ht="15" customHeight="1" s="12">
      <c r="A41" s="17" t="n"/>
      <c r="B41" s="19">
        <f>IF(OR(A41="",$C$29=""),"",$C$29*SQRT(2*A41/$C$7))</f>
        <v/>
      </c>
      <c r="C41" s="19">
        <f>IF(OR(A41="",$C$25="",$C$12="",$C$12=0),"",$C$25*SQRT(A41/$C$12))</f>
        <v/>
      </c>
      <c r="D41" s="17" t="n"/>
      <c r="E41" s="17" t="n"/>
      <c r="F41" s="17" t="n"/>
      <c r="G41" s="19">
        <f>IF(OR(B41="",D41="",B41=0),"",(D41-B41)/B41*100)</f>
        <v/>
      </c>
      <c r="H41" s="19">
        <f>IF(G41="","",ABS(G41))</f>
        <v/>
      </c>
      <c r="J41" s="19" t="n">
        <v>0.25</v>
      </c>
      <c r="K41" s="19">
        <f>IF($C$29="","",$C$29*SQRT(2*J41/$C$7))</f>
        <v/>
      </c>
    </row>
    <row r="42" ht="15" customHeight="1" s="12">
      <c r="A42" s="17" t="n"/>
      <c r="B42" s="19">
        <f>IF(OR(A42="",$C$29=""),"",$C$29*SQRT(2*A42/$C$7))</f>
        <v/>
      </c>
      <c r="C42" s="19">
        <f>IF(OR(A42="",$C$25="",$C$12="",$C$12=0),"",$C$25*SQRT(A42/$C$12))</f>
        <v/>
      </c>
      <c r="D42" s="17" t="n"/>
      <c r="E42" s="17" t="n"/>
      <c r="F42" s="17" t="n"/>
      <c r="G42" s="19">
        <f>IF(OR(B42="",D42="",B42=0),"",(D42-B42)/B42*100)</f>
        <v/>
      </c>
      <c r="H42" s="19">
        <f>IF(G42="","",ABS(G42))</f>
        <v/>
      </c>
      <c r="J42" s="19" t="n">
        <v>0.3</v>
      </c>
      <c r="K42" s="19">
        <f>IF($C$29="","",$C$29*SQRT(2*J42/$C$7))</f>
        <v/>
      </c>
    </row>
    <row r="43" ht="15" customHeight="1" s="12">
      <c r="A43" s="17" t="n"/>
      <c r="B43" s="19">
        <f>IF(OR(A43="",$C$29=""),"",$C$29*SQRT(2*A43/$C$7))</f>
        <v/>
      </c>
      <c r="C43" s="19">
        <f>IF(OR(A43="",$C$25="",$C$12="",$C$12=0),"",$C$25*SQRT(A43/$C$12))</f>
        <v/>
      </c>
      <c r="D43" s="17" t="n"/>
      <c r="E43" s="17" t="n"/>
      <c r="F43" s="17" t="n"/>
      <c r="G43" s="19">
        <f>IF(OR(B43="",D43="",B43=0),"",(D43-B43)/B43*100)</f>
        <v/>
      </c>
      <c r="H43" s="19">
        <f>IF(G43="","",ABS(G43))</f>
        <v/>
      </c>
      <c r="J43" s="19" t="n">
        <v>0.35</v>
      </c>
      <c r="K43" s="19">
        <f>IF($C$29="","",$C$29*SQRT(2*J43/$C$7))</f>
        <v/>
      </c>
    </row>
    <row r="44" ht="15" customHeight="1" s="12">
      <c r="A44" s="17" t="n"/>
      <c r="B44" s="19">
        <f>IF(OR(A44="",$C$29=""),"",$C$29*SQRT(2*A44/$C$7))</f>
        <v/>
      </c>
      <c r="C44" s="19">
        <f>IF(OR(A44="",$C$25="",$C$12="",$C$12=0),"",$C$25*SQRT(A44/$C$12))</f>
        <v/>
      </c>
      <c r="D44" s="17" t="n"/>
      <c r="E44" s="17" t="n"/>
      <c r="F44" s="17" t="n"/>
      <c r="G44" s="19">
        <f>IF(OR(B44="",D44="",B44=0),"",(D44-B44)/B44*100)</f>
        <v/>
      </c>
      <c r="H44" s="19">
        <f>IF(G44="","",ABS(G44))</f>
        <v/>
      </c>
      <c r="J44" s="19" t="n">
        <v>0.4</v>
      </c>
      <c r="K44" s="19">
        <f>IF($C$29="","",$C$29*SQRT(2*J44/$C$7))</f>
        <v/>
      </c>
    </row>
    <row r="45" ht="15" customHeight="1" s="12">
      <c r="A45" s="17" t="n"/>
      <c r="B45" s="19">
        <f>IF(OR(A45="",$C$29=""),"",$C$29*SQRT(2*A45/$C$7))</f>
        <v/>
      </c>
      <c r="C45" s="19">
        <f>IF(OR(A45="",$C$25="",$C$12="",$C$12=0),"",$C$25*SQRT(A45/$C$12))</f>
        <v/>
      </c>
      <c r="D45" s="17" t="n"/>
      <c r="E45" s="17" t="n"/>
      <c r="F45" s="17" t="n"/>
      <c r="G45" s="19">
        <f>IF(OR(B45="",D45="",B45=0),"",(D45-B45)/B45*100)</f>
        <v/>
      </c>
      <c r="H45" s="19">
        <f>IF(G45="","",ABS(G45))</f>
        <v/>
      </c>
      <c r="J45" s="19" t="n">
        <v>0.45</v>
      </c>
      <c r="K45" s="19">
        <f>IF($C$29="","",$C$29*SQRT(2*J45/$C$7))</f>
        <v/>
      </c>
    </row>
    <row r="46" ht="15" customHeight="1" s="12">
      <c r="J46" s="19" t="n">
        <v>0.5</v>
      </c>
      <c r="K46" s="19">
        <f>IF($C$29="","",$C$29*SQRT(2*J46/$C$7))</f>
        <v/>
      </c>
    </row>
    <row r="47" ht="15" customHeight="1" s="12">
      <c r="A47" s="18" t="inlineStr">
        <is>
          <t>The cross-check column is the same prediction with v₀ substituted back in and g cancelled: d = d̄₀√(h/h₀). It must match the predicted column to the last digit. That it does is the point — this lab tests the √h scaling law, not the value of g.</t>
        </is>
      </c>
      <c r="J47" s="19" t="n">
        <v>0.55</v>
      </c>
      <c r="K47" s="19">
        <f>IF($C$29="","",$C$29*SQRT(2*J47/$C$7))</f>
        <v/>
      </c>
    </row>
    <row r="48" ht="15" customHeight="1" s="12">
      <c r="A48" s="18" t="inlineStr">
        <is>
          <t>Look at the SIGN of column G across the heights, not just the size of column H. A trend with height is a systematic effect and is worth more in your Discussion than a small average.</t>
        </is>
      </c>
      <c r="J48" s="19" t="n">
        <v>0.6</v>
      </c>
      <c r="K48" s="19">
        <f>IF($C$29="","",$C$29*SQRT(2*J48/$C$7))</f>
        <v/>
      </c>
    </row>
    <row r="49" ht="15" customHeight="1" s="12">
      <c r="J49" s="19" t="n">
        <v>0.65</v>
      </c>
      <c r="K49" s="19">
        <f>IF($C$29="","",$C$29*SQRT(2*J49/$C$7))</f>
        <v/>
      </c>
    </row>
    <row r="50" ht="15" customHeight="1" s="12">
      <c r="J50" s="19" t="n">
        <v>0.7</v>
      </c>
      <c r="K50" s="19">
        <f>IF($C$29="","",$C$29*SQRT(2*J50/$C$7))</f>
        <v/>
      </c>
    </row>
    <row r="51" ht="15" customHeight="1" s="12">
      <c r="J51" s="19" t="n">
        <v>0.75</v>
      </c>
      <c r="K51" s="19">
        <f>IF($C$29="","",$C$29*SQRT(2*J51/$C$7))</f>
        <v/>
      </c>
    </row>
    <row r="52" ht="15" customHeight="1" s="12">
      <c r="J52" s="19" t="n">
        <v>0.8</v>
      </c>
      <c r="K52" s="19">
        <f>IF($C$29="","",$C$29*SQRT(2*J52/$C$7))</f>
        <v/>
      </c>
    </row>
    <row r="53" ht="15" customHeight="1" s="12">
      <c r="J53" s="19" t="n">
        <v>0.85</v>
      </c>
      <c r="K53" s="19">
        <f>IF($C$29="","",$C$29*SQRT(2*J53/$C$7))</f>
        <v/>
      </c>
    </row>
    <row r="54" ht="15" customHeight="1" s="12">
      <c r="J54" s="19" t="n">
        <v>0.9</v>
      </c>
      <c r="K54" s="19">
        <f>IF($C$29="","",$C$29*SQRT(2*J54/$C$7))</f>
        <v/>
      </c>
    </row>
    <row r="55" ht="15" customHeight="1" s="12">
      <c r="J55" s="19" t="n">
        <v>0.95</v>
      </c>
      <c r="K55" s="19">
        <f>IF($C$29="","",$C$29*SQRT(2*J55/$C$7))</f>
        <v/>
      </c>
    </row>
    <row r="56" ht="15" customHeight="1" s="12">
      <c r="J56" s="19" t="n">
        <v>1</v>
      </c>
      <c r="K56" s="19">
        <f>IF($C$29="","",$C$29*SQRT(2*J56/$C$7))</f>
        <v/>
      </c>
    </row>
    <row r="57" ht="15" customHeight="1" s="12">
      <c r="J57" s="19" t="n">
        <v>1.05</v>
      </c>
      <c r="K57" s="19">
        <f>IF($C$29="","",$C$29*SQRT(2*J57/$C$7))</f>
        <v/>
      </c>
    </row>
    <row r="58" ht="15" customHeight="1" s="12">
      <c r="J58" s="19" t="n">
        <v>1.1</v>
      </c>
      <c r="K58" s="19">
        <f>IF($C$29="","",$C$29*SQRT(2*J58/$C$7))</f>
        <v/>
      </c>
    </row>
    <row r="59" ht="15" customHeight="1" s="12">
      <c r="J59" s="19" t="n">
        <v>1.15</v>
      </c>
      <c r="K59" s="19">
        <f>IF($C$29="","",$C$29*SQRT(2*J59/$C$7))</f>
        <v/>
      </c>
    </row>
    <row r="60" ht="15" customHeight="1" s="12">
      <c r="J60" s="19" t="n">
        <v>1.2</v>
      </c>
      <c r="K60" s="19">
        <f>IF($C$29="","",$C$29*SQRT(2*J60/$C$7))</f>
        <v/>
      </c>
    </row>
    <row r="61" ht="15" customHeight="1" s="12">
      <c r="J61" s="19" t="n">
        <v>1.25</v>
      </c>
      <c r="K61" s="19">
        <f>IF($C$29="","",$C$29*SQRT(2*J61/$C$7))</f>
        <v/>
      </c>
    </row>
    <row r="62" ht="15" customHeight="1" s="12">
      <c r="J62" s="19" t="n">
        <v>1.3</v>
      </c>
      <c r="K62" s="19">
        <f>IF($C$29="","",$C$29*SQRT(2*J62/$C$7))</f>
        <v/>
      </c>
    </row>
    <row r="63" ht="15" customHeight="1" s="12">
      <c r="J63" s="19" t="n">
        <v>1.35</v>
      </c>
      <c r="K63" s="19">
        <f>IF($C$29="","",$C$29*SQRT(2*J63/$C$7))</f>
        <v/>
      </c>
    </row>
    <row r="64" ht="15" customHeight="1" s="12">
      <c r="J64" s="19" t="n">
        <v>1.4</v>
      </c>
      <c r="K64" s="19">
        <f>IF($C$29="","",$C$29*SQRT(2*J64/$C$7))</f>
        <v/>
      </c>
    </row>
    <row r="65" ht="15" customHeight="1" s="12">
      <c r="J65" s="19" t="n">
        <v>1.45</v>
      </c>
      <c r="K65" s="19">
        <f>IF($C$29="","",$C$29*SQRT(2*J65/$C$7))</f>
        <v/>
      </c>
    </row>
    <row r="66" ht="15" customHeight="1" s="12">
      <c r="J66" s="19" t="n">
        <v>1.5</v>
      </c>
      <c r="K66" s="19">
        <f>IF($C$29="","",$C$29*SQRT(2*J66/$C$7))</f>
        <v/>
      </c>
    </row>
    <row r="67" ht="15" customHeight="1" s="12">
      <c r="J67" s="19" t="n">
        <v>1.55</v>
      </c>
      <c r="K67" s="19">
        <f>IF($C$29="","",$C$29*SQRT(2*J67/$C$7))</f>
        <v/>
      </c>
    </row>
    <row r="68" ht="15" customHeight="1" s="12">
      <c r="J68" s="19" t="n">
        <v>1.6</v>
      </c>
      <c r="K68" s="19">
        <f>IF($C$29="","",$C$29*SQRT(2*J68/$C$7))</f>
        <v/>
      </c>
    </row>
    <row r="69" ht="15" customHeight="1" s="12">
      <c r="J69" s="19" t="n">
        <v>1.65</v>
      </c>
      <c r="K69" s="19">
        <f>IF($C$29="","",$C$29*SQRT(2*J69/$C$7))</f>
        <v/>
      </c>
    </row>
    <row r="70" ht="15" customHeight="1" s="12">
      <c r="J70" s="19" t="n">
        <v>1.7</v>
      </c>
      <c r="K70" s="19">
        <f>IF($C$29="","",$C$29*SQRT(2*J70/$C$7))</f>
        <v/>
      </c>
    </row>
    <row r="71" ht="15" customHeight="1" s="12">
      <c r="J71" s="19" t="n">
        <v>1.75</v>
      </c>
      <c r="K71" s="19">
        <f>IF($C$29="","",$C$29*SQRT(2*J71/$C$7))</f>
        <v/>
      </c>
    </row>
    <row r="72" ht="15" customHeight="1" s="12">
      <c r="J72" s="19" t="n">
        <v>1.8</v>
      </c>
      <c r="K72" s="19">
        <f>IF($C$29="","",$C$29*SQRT(2*J72/$C$7))</f>
        <v/>
      </c>
    </row>
    <row r="73" ht="15" customHeight="1" s="12">
      <c r="J73" s="19" t="n">
        <v>1.85</v>
      </c>
      <c r="K73" s="19">
        <f>IF($C$29="","",$C$29*SQRT(2*J73/$C$7))</f>
        <v/>
      </c>
    </row>
    <row r="74" ht="15" customHeight="1" s="12">
      <c r="J74" s="19" t="n">
        <v>1.9</v>
      </c>
      <c r="K74" s="19">
        <f>IF($C$29="","",$C$29*SQRT(2*J74/$C$7))</f>
        <v/>
      </c>
    </row>
    <row r="75" ht="15" customHeight="1" s="12">
      <c r="J75" s="19" t="n">
        <v>1.95</v>
      </c>
      <c r="K75" s="19">
        <f>IF($C$29="","",$C$29*SQRT(2*J75/$C$7))</f>
        <v/>
      </c>
    </row>
    <row r="76" ht="15" customHeight="1" s="12">
      <c r="J76" s="19" t="n">
        <v>2</v>
      </c>
      <c r="K76" s="19">
        <f>IF($C$29="","",$C$29*SQRT(2*J76/$C$7))</f>
        <v/>
      </c>
    </row>
    <row r="77"/>
    <row r="78" ht="15" customHeight="1" s="12">
      <c r="J78" s="18" t="inlineStr">
        <is>
          <t>Plot this as a smooth dashed line. It is CALCULATED from your v₀, never fitted to your measured points — fitting it would destroy the test.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1" min="1" max="1"/>
    <col width="22" customWidth="1" style="11" min="2" max="4"/>
    <col width="16" customWidth="1" style="11" min="5" max="5"/>
    <col width="13" customWidth="1" style="11" min="6" max="6"/>
    <col width="20" customWidth="1" style="11" min="7" max="7"/>
    <col width="15" customWidth="1" style="11" min="8" max="8"/>
    <col width="16" customWidth="1" style="11" min="10" max="10"/>
    <col width="20" customWidth="1" style="11" min="11" max="11"/>
  </cols>
  <sheetData>
    <row r="1" ht="16.15" customHeight="1" s="12">
      <c r="A1" s="13" t="inlineStr">
        <is>
          <t>PHY 118  ·  Lab 3 — Worked example (a real run, for reference)</t>
        </is>
      </c>
    </row>
    <row r="2" ht="15" customHeight="1" s="12">
      <c r="A2" s="14" t="inlineStr">
        <is>
          <t>Type only in the shaded cells. Everything else calculates itself. Units are metres and seconds throughout.</t>
        </is>
      </c>
    </row>
    <row r="3" ht="15" customHeight="1" s="12">
      <c r="A3" s="18" t="inlineStr">
        <is>
          <t>Source: 'Lab 3 Horizontal Launch.xlsx', PHY 118 course archive — a real data set. Use it to see the shape of a finished sheet; do not submit these numbers as your own.</t>
        </is>
      </c>
    </row>
    <row r="4" ht="15" customHeight="1" s="12">
      <c r="A4" s="15" t="inlineStr">
        <is>
          <t>Name</t>
        </is>
      </c>
      <c r="B4" s="16" t="n"/>
      <c r="D4" s="15" t="inlineStr">
        <is>
          <t>Partner</t>
        </is>
      </c>
      <c r="E4" s="16" t="n"/>
    </row>
    <row r="5" ht="15" customHeight="1" s="12">
      <c r="A5" s="15" t="inlineStr">
        <is>
          <t>Section</t>
        </is>
      </c>
      <c r="B5" s="16" t="n"/>
      <c r="D5" s="15" t="inlineStr">
        <is>
          <t>Date</t>
        </is>
      </c>
      <c r="E5" s="16" t="n"/>
    </row>
    <row r="6"/>
    <row r="7" ht="15" customHeight="1" s="12">
      <c r="A7" s="15" t="inlineStr">
        <is>
          <t>Accepted g  (m/s²)</t>
        </is>
      </c>
      <c r="C7" s="17" t="n">
        <v>9.800000000000001</v>
      </c>
      <c r="D7" s="18" t="inlineStr">
        <is>
          <t>PHY 118 uses 9.80 m/s², the same value as Lab 02. Keep it consistent everywhere in your report.</t>
        </is>
      </c>
    </row>
    <row r="8"/>
    <row r="9" ht="15" customHeight="1" s="12">
      <c r="A9" s="15" t="inlineStr">
        <is>
          <t>KEY</t>
        </is>
      </c>
      <c r="B9" s="17" t="inlineStr">
        <is>
          <t xml:space="preserve">  shaded = you type here  </t>
        </is>
      </c>
      <c r="D9" s="19" t="inlineStr">
        <is>
          <t xml:space="preserve">  white = calculated, do not type  </t>
        </is>
      </c>
    </row>
    <row r="10"/>
    <row r="11" ht="16.15" customHeight="1" s="12">
      <c r="A11" s="13" t="inlineStr">
        <is>
          <t>Part I — Calibration run (one height, five or more trials)</t>
        </is>
      </c>
    </row>
    <row r="12" ht="15" customHeight="1" s="12">
      <c r="A12" s="15" t="inlineStr">
        <is>
          <t>Launch height  h₀  (m)</t>
        </is>
      </c>
      <c r="C12" s="17" t="n">
        <v>0.927</v>
      </c>
    </row>
    <row r="13" ht="15" customHeight="1" s="12">
      <c r="A13" s="15" t="inlineStr">
        <is>
          <t>Uncertainty in the height  δh₀  (m)</t>
        </is>
      </c>
      <c r="C13" s="17" t="n">
        <v>0.002</v>
      </c>
    </row>
    <row r="14"/>
    <row r="15" ht="15" customHeight="1" s="12">
      <c r="A15" s="20" t="inlineStr">
        <is>
          <t>Trial</t>
        </is>
      </c>
      <c r="B15" s="20" t="inlineStr">
        <is>
          <t>Landing distance  d  (m)</t>
        </is>
      </c>
    </row>
    <row r="16" ht="15" customHeight="1" s="12">
      <c r="A16" s="21" t="n">
        <v>1</v>
      </c>
      <c r="B16" s="17" t="n"/>
      <c r="D16" s="18" t="inlineStr">
        <is>
          <t>This calibration pair is real (h₀ = 0.927 m, d̄₀ = 0.475 m) but the archive recorded only the mean, so the trial cells are left empty on purpose — d̄₀ below is typed in rather than averaged. Your own sheet averages your five trials.</t>
        </is>
      </c>
    </row>
    <row r="17" ht="15" customHeight="1" s="12">
      <c r="A17" s="21" t="n">
        <v>2</v>
      </c>
      <c r="B17" s="17" t="n"/>
    </row>
    <row r="18" ht="15" customHeight="1" s="12">
      <c r="A18" s="21" t="n">
        <v>3</v>
      </c>
      <c r="B18" s="17" t="n"/>
    </row>
    <row r="19" ht="15" customHeight="1" s="12">
      <c r="A19" s="21" t="n">
        <v>4</v>
      </c>
      <c r="B19" s="17" t="n"/>
    </row>
    <row r="20" ht="15" customHeight="1" s="12">
      <c r="A20" s="21" t="n">
        <v>5</v>
      </c>
      <c r="B20" s="17" t="n"/>
    </row>
    <row r="21" ht="15" customHeight="1" s="12">
      <c r="A21" s="21" t="n">
        <v>6</v>
      </c>
      <c r="B21" s="17" t="n"/>
    </row>
    <row r="22" ht="15" customHeight="1" s="12">
      <c r="A22" s="21" t="n">
        <v>7</v>
      </c>
      <c r="B22" s="17" t="n"/>
    </row>
    <row r="23"/>
    <row r="24" ht="15" customHeight="1" s="12">
      <c r="A24" s="15" t="inlineStr">
        <is>
          <t>N (trials)</t>
        </is>
      </c>
      <c r="C24" s="19">
        <f>IF(COUNT(B16:B22)=0,"",COUNT(B16:B22))</f>
        <v/>
      </c>
    </row>
    <row r="25" ht="15" customHeight="1" s="12">
      <c r="A25" s="15" t="inlineStr">
        <is>
          <t>Mean  d̄₀  (m)</t>
        </is>
      </c>
      <c r="C25" s="17" t="n">
        <v>0.475</v>
      </c>
    </row>
    <row r="26" ht="15" customHeight="1" s="12">
      <c r="A26" s="15" t="inlineStr">
        <is>
          <t>Standard deviation  s  (m)</t>
        </is>
      </c>
      <c r="C26" s="19">
        <f>IF(COUNT(B16:B22)&lt;2,"",STDEV(B16:B22))</f>
        <v/>
      </c>
    </row>
    <row r="27" ht="15" customHeight="1" s="12">
      <c r="A27" s="15" t="inlineStr">
        <is>
          <t>Standard error of the mean  δd  (m)</t>
        </is>
      </c>
      <c r="C27" s="19">
        <f>IF(OR(C26="",C24=""),"",C26/SQRT(C24))</f>
        <v/>
      </c>
    </row>
    <row r="28" ht="15" customHeight="1" s="12">
      <c r="A28" s="15" t="n"/>
      <c r="C28" s="19" t="n"/>
    </row>
    <row r="29" ht="15" customHeight="1" s="12">
      <c r="A29" s="15" t="inlineStr">
        <is>
          <t>Launch speed  v₀ = d̄₀·√(g/2h₀)   (m/s)</t>
        </is>
      </c>
      <c r="C29" s="19">
        <f>IF(OR($C$25="",$C$12="",$C$12=0),"",$C$25*SQRT($C$7/(2*$C$12)))</f>
        <v/>
      </c>
    </row>
    <row r="30" ht="15" customHeight="1" s="12">
      <c r="A30" s="15" t="inlineStr">
        <is>
          <t>Relative uncertainty  δv₀/v₀</t>
        </is>
      </c>
      <c r="C30" s="19">
        <f>IF(OR(C27="",C25="",C25=0,C13="",C12="",C12=0),"",SQRT((C27/C25)^2+(0.5*C13/C12)^2))</f>
        <v/>
      </c>
      <c r="D30" s="18" t="inlineStr">
        <is>
          <t>δv₀/v₀ = √[(δd/d̄)² + (½·δh/h)²] — the ½ is there because v₀ depends on h to the power −½. An error in the height costs you half as much as the same relative error in the distance.</t>
        </is>
      </c>
    </row>
    <row r="31" ht="15" customHeight="1" s="12">
      <c r="A31" s="15" t="inlineStr">
        <is>
          <t>Uncertainty  δv₀  (m/s)</t>
        </is>
      </c>
      <c r="C31" s="19">
        <f>IF(OR(C29="",C30=""),"",C29*C30)</f>
        <v/>
      </c>
    </row>
    <row r="32"/>
    <row r="33"/>
    <row r="34" ht="16.15" customHeight="1" s="12">
      <c r="A34" s="13" t="inlineStr">
        <is>
          <t>Parts II and III — every launch height you test</t>
        </is>
      </c>
      <c r="J34" s="13" t="inlineStr">
        <is>
          <t>Theory curve</t>
        </is>
      </c>
    </row>
    <row r="35" ht="33.75" customHeight="1" s="12">
      <c r="A35" s="22" t="inlineStr">
        <is>
          <t>Height  h  (m)</t>
        </is>
      </c>
      <c r="B35" s="22" t="inlineStr">
        <is>
          <t>Predicted  d  (m)
= v₀√(2h/g)</t>
        </is>
      </c>
      <c r="C35" s="22" t="inlineStr">
        <is>
          <t>Cross-check  d  (m)
= d̄₀√(h/h₀)</t>
        </is>
      </c>
      <c r="D35" s="22" t="inlineStr">
        <is>
          <t>Measured mean  d  (m)</t>
        </is>
      </c>
      <c r="E35" s="22" t="inlineStr">
        <is>
          <t>SEM  δd  (m)</t>
        </is>
      </c>
      <c r="F35" s="22" t="inlineStr">
        <is>
          <t>In the cup?</t>
        </is>
      </c>
      <c r="G35" s="22" t="inlineStr">
        <is>
          <t>Signed difference (%)</t>
        </is>
      </c>
      <c r="H35" s="22" t="inlineStr">
        <is>
          <t>% difference</t>
        </is>
      </c>
      <c r="J35" s="20" t="inlineStr">
        <is>
          <t>Height  h  (m)</t>
        </is>
      </c>
      <c r="K35" s="20" t="inlineStr">
        <is>
          <t>Predicted  d  (m)</t>
        </is>
      </c>
    </row>
    <row r="36" ht="15" customHeight="1" s="12">
      <c r="A36" s="17" t="n">
        <v>0.142</v>
      </c>
      <c r="B36" s="19">
        <f>IF(OR(A36="",$C$29=""),"",$C$29*SQRT(2*A36/$C$7))</f>
        <v/>
      </c>
      <c r="C36" s="19">
        <f>IF(OR(A36="",$C$25="",$C$12="",$C$12=0),"",$C$25*SQRT(A36/$C$12))</f>
        <v/>
      </c>
      <c r="D36" s="17" t="n">
        <v>0.164</v>
      </c>
      <c r="E36" s="17" t="n"/>
      <c r="F36" s="17" t="n"/>
      <c r="G36" s="19">
        <f>IF(OR(B36="",D36="",B36=0),"",(D36-B36)/B36*100)</f>
        <v/>
      </c>
      <c r="H36" s="19">
        <f>IF(G36="","",ABS(G36))</f>
        <v/>
      </c>
      <c r="J36" s="19" t="n">
        <v>0</v>
      </c>
      <c r="K36" s="19">
        <f>IF($C$29="","",$C$29*SQRT(2*J36/$C$7))</f>
        <v/>
      </c>
    </row>
    <row r="37" ht="15" customHeight="1" s="12">
      <c r="A37" s="17" t="n">
        <v>0.512</v>
      </c>
      <c r="B37" s="19">
        <f>IF(OR(A37="",$C$29=""),"",$C$29*SQRT(2*A37/$C$7))</f>
        <v/>
      </c>
      <c r="C37" s="19">
        <f>IF(OR(A37="",$C$25="",$C$12="",$C$12=0),"",$C$25*SQRT(A37/$C$12))</f>
        <v/>
      </c>
      <c r="D37" s="17" t="n">
        <v>0.31</v>
      </c>
      <c r="E37" s="17" t="n"/>
      <c r="F37" s="17" t="n"/>
      <c r="G37" s="19">
        <f>IF(OR(B37="",D37="",B37=0),"",(D37-B37)/B37*100)</f>
        <v/>
      </c>
      <c r="H37" s="19">
        <f>IF(G37="","",ABS(G37))</f>
        <v/>
      </c>
      <c r="J37" s="19" t="n">
        <v>0.05</v>
      </c>
      <c r="K37" s="19">
        <f>IF($C$29="","",$C$29*SQRT(2*J37/$C$7))</f>
        <v/>
      </c>
    </row>
    <row r="38" ht="15" customHeight="1" s="12">
      <c r="A38" s="17" t="n">
        <v>0.865</v>
      </c>
      <c r="B38" s="19">
        <f>IF(OR(A38="",$C$29=""),"",$C$29*SQRT(2*A38/$C$7))</f>
        <v/>
      </c>
      <c r="C38" s="19">
        <f>IF(OR(A38="",$C$25="",$C$12="",$C$12=0),"",$C$25*SQRT(A38/$C$12))</f>
        <v/>
      </c>
      <c r="D38" s="17" t="n">
        <v>0.436</v>
      </c>
      <c r="E38" s="17" t="n"/>
      <c r="F38" s="17" t="n"/>
      <c r="G38" s="19">
        <f>IF(OR(B38="",D38="",B38=0),"",(D38-B38)/B38*100)</f>
        <v/>
      </c>
      <c r="H38" s="19">
        <f>IF(G38="","",ABS(G38))</f>
        <v/>
      </c>
      <c r="J38" s="19" t="n">
        <v>0.1</v>
      </c>
      <c r="K38" s="19">
        <f>IF($C$29="","",$C$29*SQRT(2*J38/$C$7))</f>
        <v/>
      </c>
    </row>
    <row r="39" ht="15" customHeight="1" s="12">
      <c r="A39" s="17" t="n">
        <v>1.217</v>
      </c>
      <c r="B39" s="19">
        <f>IF(OR(A39="",$C$29=""),"",$C$29*SQRT(2*A39/$C$7))</f>
        <v/>
      </c>
      <c r="C39" s="19">
        <f>IF(OR(A39="",$C$25="",$C$12="",$C$12=0),"",$C$25*SQRT(A39/$C$12))</f>
        <v/>
      </c>
      <c r="D39" s="17" t="n">
        <v>0.536</v>
      </c>
      <c r="E39" s="17" t="n"/>
      <c r="F39" s="17" t="n"/>
      <c r="G39" s="19">
        <f>IF(OR(B39="",D39="",B39=0),"",(D39-B39)/B39*100)</f>
        <v/>
      </c>
      <c r="H39" s="19">
        <f>IF(G39="","",ABS(G39))</f>
        <v/>
      </c>
      <c r="J39" s="19" t="n">
        <v>0.15</v>
      </c>
      <c r="K39" s="19">
        <f>IF($C$29="","",$C$29*SQRT(2*J39/$C$7))</f>
        <v/>
      </c>
    </row>
    <row r="40" ht="15" customHeight="1" s="12">
      <c r="A40" s="17" t="n">
        <v>1.556</v>
      </c>
      <c r="B40" s="19">
        <f>IF(OR(A40="",$C$29=""),"",$C$29*SQRT(2*A40/$C$7))</f>
        <v/>
      </c>
      <c r="C40" s="19">
        <f>IF(OR(A40="",$C$25="",$C$12="",$C$12=0),"",$C$25*SQRT(A40/$C$12))</f>
        <v/>
      </c>
      <c r="D40" s="17" t="n">
        <v>0.599</v>
      </c>
      <c r="E40" s="17" t="n"/>
      <c r="F40" s="17" t="n"/>
      <c r="G40" s="19">
        <f>IF(OR(B40="",D40="",B40=0),"",(D40-B40)/B40*100)</f>
        <v/>
      </c>
      <c r="H40" s="19">
        <f>IF(G40="","",ABS(G40))</f>
        <v/>
      </c>
      <c r="J40" s="19" t="n">
        <v>0.2</v>
      </c>
      <c r="K40" s="19">
        <f>IF($C$29="","",$C$29*SQRT(2*J40/$C$7))</f>
        <v/>
      </c>
    </row>
    <row r="41" ht="15" customHeight="1" s="12">
      <c r="A41" s="17" t="n">
        <v>1.93</v>
      </c>
      <c r="B41" s="19">
        <f>IF(OR(A41="",$C$29=""),"",$C$29*SQRT(2*A41/$C$7))</f>
        <v/>
      </c>
      <c r="C41" s="19">
        <f>IF(OR(A41="",$C$25="",$C$12="",$C$12=0),"",$C$25*SQRT(A41/$C$12))</f>
        <v/>
      </c>
      <c r="D41" s="17" t="n">
        <v>0.6929999999999999</v>
      </c>
      <c r="E41" s="17" t="n"/>
      <c r="F41" s="17" t="n"/>
      <c r="G41" s="19">
        <f>IF(OR(B41="",D41="",B41=0),"",(D41-B41)/B41*100)</f>
        <v/>
      </c>
      <c r="H41" s="19">
        <f>IF(G41="","",ABS(G41))</f>
        <v/>
      </c>
      <c r="J41" s="19" t="n">
        <v>0.25</v>
      </c>
      <c r="K41" s="19">
        <f>IF($C$29="","",$C$29*SQRT(2*J41/$C$7))</f>
        <v/>
      </c>
    </row>
    <row r="42" ht="15" customHeight="1" s="12">
      <c r="A42" s="17" t="n"/>
      <c r="B42" s="19">
        <f>IF(OR(A42="",$C$29=""),"",$C$29*SQRT(2*A42/$C$7))</f>
        <v/>
      </c>
      <c r="C42" s="19">
        <f>IF(OR(A42="",$C$25="",$C$12="",$C$12=0),"",$C$25*SQRT(A42/$C$12))</f>
        <v/>
      </c>
      <c r="D42" s="17" t="n"/>
      <c r="E42" s="17" t="n"/>
      <c r="F42" s="17" t="n"/>
      <c r="G42" s="19">
        <f>IF(OR(B42="",D42="",B42=0),"",(D42-B42)/B42*100)</f>
        <v/>
      </c>
      <c r="H42" s="19">
        <f>IF(G42="","",ABS(G42))</f>
        <v/>
      </c>
      <c r="J42" s="19" t="n">
        <v>0.3</v>
      </c>
      <c r="K42" s="19">
        <f>IF($C$29="","",$C$29*SQRT(2*J42/$C$7))</f>
        <v/>
      </c>
    </row>
    <row r="43" ht="15" customHeight="1" s="12">
      <c r="A43" s="17" t="n"/>
      <c r="B43" s="19">
        <f>IF(OR(A43="",$C$29=""),"",$C$29*SQRT(2*A43/$C$7))</f>
        <v/>
      </c>
      <c r="C43" s="19">
        <f>IF(OR(A43="",$C$25="",$C$12="",$C$12=0),"",$C$25*SQRT(A43/$C$12))</f>
        <v/>
      </c>
      <c r="D43" s="17" t="n"/>
      <c r="E43" s="17" t="n"/>
      <c r="F43" s="17" t="n"/>
      <c r="G43" s="19">
        <f>IF(OR(B43="",D43="",B43=0),"",(D43-B43)/B43*100)</f>
        <v/>
      </c>
      <c r="H43" s="19">
        <f>IF(G43="","",ABS(G43))</f>
        <v/>
      </c>
      <c r="J43" s="19" t="n">
        <v>0.35</v>
      </c>
      <c r="K43" s="19">
        <f>IF($C$29="","",$C$29*SQRT(2*J43/$C$7))</f>
        <v/>
      </c>
    </row>
    <row r="44" ht="15" customHeight="1" s="12">
      <c r="A44" s="17" t="n"/>
      <c r="B44" s="19">
        <f>IF(OR(A44="",$C$29=""),"",$C$29*SQRT(2*A44/$C$7))</f>
        <v/>
      </c>
      <c r="C44" s="19">
        <f>IF(OR(A44="",$C$25="",$C$12="",$C$12=0),"",$C$25*SQRT(A44/$C$12))</f>
        <v/>
      </c>
      <c r="D44" s="17" t="n"/>
      <c r="E44" s="17" t="n"/>
      <c r="F44" s="17" t="n"/>
      <c r="G44" s="19">
        <f>IF(OR(B44="",D44="",B44=0),"",(D44-B44)/B44*100)</f>
        <v/>
      </c>
      <c r="H44" s="19">
        <f>IF(G44="","",ABS(G44))</f>
        <v/>
      </c>
      <c r="J44" s="19" t="n">
        <v>0.4</v>
      </c>
      <c r="K44" s="19">
        <f>IF($C$29="","",$C$29*SQRT(2*J44/$C$7))</f>
        <v/>
      </c>
    </row>
    <row r="45" ht="15" customHeight="1" s="12">
      <c r="A45" s="17" t="n"/>
      <c r="B45" s="19">
        <f>IF(OR(A45="",$C$29=""),"",$C$29*SQRT(2*A45/$C$7))</f>
        <v/>
      </c>
      <c r="C45" s="19">
        <f>IF(OR(A45="",$C$25="",$C$12="",$C$12=0),"",$C$25*SQRT(A45/$C$12))</f>
        <v/>
      </c>
      <c r="D45" s="17" t="n"/>
      <c r="E45" s="17" t="n"/>
      <c r="F45" s="17" t="n"/>
      <c r="G45" s="19">
        <f>IF(OR(B45="",D45="",B45=0),"",(D45-B45)/B45*100)</f>
        <v/>
      </c>
      <c r="H45" s="19">
        <f>IF(G45="","",ABS(G45))</f>
        <v/>
      </c>
      <c r="J45" s="19" t="n">
        <v>0.45</v>
      </c>
      <c r="K45" s="19">
        <f>IF($C$29="","",$C$29*SQRT(2*J45/$C$7))</f>
        <v/>
      </c>
    </row>
    <row r="46" ht="15" customHeight="1" s="12">
      <c r="J46" s="19" t="n">
        <v>0.5</v>
      </c>
      <c r="K46" s="19">
        <f>IF($C$29="","",$C$29*SQRT(2*J46/$C$7))</f>
        <v/>
      </c>
    </row>
    <row r="47" ht="15" customHeight="1" s="12">
      <c r="A47" s="18" t="inlineStr">
        <is>
          <t>The cross-check column is the same prediction with v₀ substituted back in and g cancelled: d = d̄₀√(h/h₀). It must match the predicted column to the last digit. That it does is the point — this lab tests the √h scaling law, not the value of g.</t>
        </is>
      </c>
      <c r="J47" s="19" t="n">
        <v>0.55</v>
      </c>
      <c r="K47" s="19">
        <f>IF($C$29="","",$C$29*SQRT(2*J47/$C$7))</f>
        <v/>
      </c>
    </row>
    <row r="48" ht="15" customHeight="1" s="12">
      <c r="A48" s="18" t="inlineStr">
        <is>
          <t>Look at the SIGN of column G across the heights, not just the size of column H. A trend with height is a systematic effect and is worth more in your Discussion than a small average.</t>
        </is>
      </c>
      <c r="J48" s="19" t="n">
        <v>0.6</v>
      </c>
      <c r="K48" s="19">
        <f>IF($C$29="","",$C$29*SQRT(2*J48/$C$7))</f>
        <v/>
      </c>
    </row>
    <row r="49" ht="15" customHeight="1" s="12">
      <c r="J49" s="19" t="n">
        <v>0.65</v>
      </c>
      <c r="K49" s="19">
        <f>IF($C$29="","",$C$29*SQRT(2*J49/$C$7))</f>
        <v/>
      </c>
    </row>
    <row r="50" ht="15" customHeight="1" s="12">
      <c r="J50" s="19" t="n">
        <v>0.7</v>
      </c>
      <c r="K50" s="19">
        <f>IF($C$29="","",$C$29*SQRT(2*J50/$C$7))</f>
        <v/>
      </c>
    </row>
    <row r="51" ht="15" customHeight="1" s="12">
      <c r="J51" s="19" t="n">
        <v>0.75</v>
      </c>
      <c r="K51" s="19">
        <f>IF($C$29="","",$C$29*SQRT(2*J51/$C$7))</f>
        <v/>
      </c>
    </row>
    <row r="52" ht="15" customHeight="1" s="12">
      <c r="J52" s="19" t="n">
        <v>0.8</v>
      </c>
      <c r="K52" s="19">
        <f>IF($C$29="","",$C$29*SQRT(2*J52/$C$7))</f>
        <v/>
      </c>
    </row>
    <row r="53" ht="15" customHeight="1" s="12">
      <c r="J53" s="19" t="n">
        <v>0.85</v>
      </c>
      <c r="K53" s="19">
        <f>IF($C$29="","",$C$29*SQRT(2*J53/$C$7))</f>
        <v/>
      </c>
    </row>
    <row r="54" ht="15" customHeight="1" s="12">
      <c r="J54" s="19" t="n">
        <v>0.9</v>
      </c>
      <c r="K54" s="19">
        <f>IF($C$29="","",$C$29*SQRT(2*J54/$C$7))</f>
        <v/>
      </c>
    </row>
    <row r="55" ht="15" customHeight="1" s="12">
      <c r="J55" s="19" t="n">
        <v>0.95</v>
      </c>
      <c r="K55" s="19">
        <f>IF($C$29="","",$C$29*SQRT(2*J55/$C$7))</f>
        <v/>
      </c>
    </row>
    <row r="56" ht="15" customHeight="1" s="12">
      <c r="J56" s="19" t="n">
        <v>1</v>
      </c>
      <c r="K56" s="19">
        <f>IF($C$29="","",$C$29*SQRT(2*J56/$C$7))</f>
        <v/>
      </c>
    </row>
    <row r="57" ht="15" customHeight="1" s="12">
      <c r="J57" s="19" t="n">
        <v>1.05</v>
      </c>
      <c r="K57" s="19">
        <f>IF($C$29="","",$C$29*SQRT(2*J57/$C$7))</f>
        <v/>
      </c>
    </row>
    <row r="58" ht="15" customHeight="1" s="12">
      <c r="J58" s="19" t="n">
        <v>1.1</v>
      </c>
      <c r="K58" s="19">
        <f>IF($C$29="","",$C$29*SQRT(2*J58/$C$7))</f>
        <v/>
      </c>
    </row>
    <row r="59" ht="15" customHeight="1" s="12">
      <c r="J59" s="19" t="n">
        <v>1.15</v>
      </c>
      <c r="K59" s="19">
        <f>IF($C$29="","",$C$29*SQRT(2*J59/$C$7))</f>
        <v/>
      </c>
    </row>
    <row r="60" ht="15" customHeight="1" s="12">
      <c r="J60" s="19" t="n">
        <v>1.2</v>
      </c>
      <c r="K60" s="19">
        <f>IF($C$29="","",$C$29*SQRT(2*J60/$C$7))</f>
        <v/>
      </c>
    </row>
    <row r="61" ht="15" customHeight="1" s="12">
      <c r="J61" s="19" t="n">
        <v>1.25</v>
      </c>
      <c r="K61" s="19">
        <f>IF($C$29="","",$C$29*SQRT(2*J61/$C$7))</f>
        <v/>
      </c>
    </row>
    <row r="62" ht="15" customHeight="1" s="12">
      <c r="J62" s="19" t="n">
        <v>1.3</v>
      </c>
      <c r="K62" s="19">
        <f>IF($C$29="","",$C$29*SQRT(2*J62/$C$7))</f>
        <v/>
      </c>
    </row>
    <row r="63" ht="15" customHeight="1" s="12">
      <c r="J63" s="19" t="n">
        <v>1.35</v>
      </c>
      <c r="K63" s="19">
        <f>IF($C$29="","",$C$29*SQRT(2*J63/$C$7))</f>
        <v/>
      </c>
    </row>
    <row r="64" ht="15" customHeight="1" s="12">
      <c r="J64" s="19" t="n">
        <v>1.4</v>
      </c>
      <c r="K64" s="19">
        <f>IF($C$29="","",$C$29*SQRT(2*J64/$C$7))</f>
        <v/>
      </c>
    </row>
    <row r="65" ht="15" customHeight="1" s="12">
      <c r="J65" s="19" t="n">
        <v>1.45</v>
      </c>
      <c r="K65" s="19">
        <f>IF($C$29="","",$C$29*SQRT(2*J65/$C$7))</f>
        <v/>
      </c>
    </row>
    <row r="66" ht="15" customHeight="1" s="12">
      <c r="J66" s="19" t="n">
        <v>1.5</v>
      </c>
      <c r="K66" s="19">
        <f>IF($C$29="","",$C$29*SQRT(2*J66/$C$7))</f>
        <v/>
      </c>
    </row>
    <row r="67" ht="15" customHeight="1" s="12">
      <c r="J67" s="19" t="n">
        <v>1.55</v>
      </c>
      <c r="K67" s="19">
        <f>IF($C$29="","",$C$29*SQRT(2*J67/$C$7))</f>
        <v/>
      </c>
    </row>
    <row r="68" ht="15" customHeight="1" s="12">
      <c r="J68" s="19" t="n">
        <v>1.6</v>
      </c>
      <c r="K68" s="19">
        <f>IF($C$29="","",$C$29*SQRT(2*J68/$C$7))</f>
        <v/>
      </c>
    </row>
    <row r="69" ht="15" customHeight="1" s="12">
      <c r="J69" s="19" t="n">
        <v>1.65</v>
      </c>
      <c r="K69" s="19">
        <f>IF($C$29="","",$C$29*SQRT(2*J69/$C$7))</f>
        <v/>
      </c>
    </row>
    <row r="70" ht="15" customHeight="1" s="12">
      <c r="J70" s="19" t="n">
        <v>1.7</v>
      </c>
      <c r="K70" s="19">
        <f>IF($C$29="","",$C$29*SQRT(2*J70/$C$7))</f>
        <v/>
      </c>
    </row>
    <row r="71" ht="15" customHeight="1" s="12">
      <c r="J71" s="19" t="n">
        <v>1.75</v>
      </c>
      <c r="K71" s="19">
        <f>IF($C$29="","",$C$29*SQRT(2*J71/$C$7))</f>
        <v/>
      </c>
    </row>
    <row r="72" ht="15" customHeight="1" s="12">
      <c r="J72" s="19" t="n">
        <v>1.8</v>
      </c>
      <c r="K72" s="19">
        <f>IF($C$29="","",$C$29*SQRT(2*J72/$C$7))</f>
        <v/>
      </c>
    </row>
    <row r="73" ht="15" customHeight="1" s="12">
      <c r="J73" s="19" t="n">
        <v>1.85</v>
      </c>
      <c r="K73" s="19">
        <f>IF($C$29="","",$C$29*SQRT(2*J73/$C$7))</f>
        <v/>
      </c>
    </row>
    <row r="74" ht="15" customHeight="1" s="12">
      <c r="J74" s="19" t="n">
        <v>1.9</v>
      </c>
      <c r="K74" s="19">
        <f>IF($C$29="","",$C$29*SQRT(2*J74/$C$7))</f>
        <v/>
      </c>
    </row>
    <row r="75" ht="15" customHeight="1" s="12">
      <c r="J75" s="19" t="n">
        <v>1.95</v>
      </c>
      <c r="K75" s="19">
        <f>IF($C$29="","",$C$29*SQRT(2*J75/$C$7))</f>
        <v/>
      </c>
    </row>
    <row r="76" ht="15" customHeight="1" s="12">
      <c r="J76" s="19" t="n">
        <v>2</v>
      </c>
      <c r="K76" s="19">
        <f>IF($C$29="","",$C$29*SQRT(2*J76/$C$7))</f>
        <v/>
      </c>
    </row>
    <row r="77"/>
    <row r="78" ht="15" customHeight="1" s="12">
      <c r="J78" s="18" t="inlineStr">
        <is>
          <t>Plot this as a smooth dashed line. It is CALCULATED from your v₀, never fitted to your measured points — fitting it would destroy the test.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2026-09-24T14:03:44Z</dcterms:created>
  <dcterms:modified xmlns:dcterms="http://purl.org/dc/terms/" xmlns:xsi="http://www.w3.org/2001/XMLSchema-instance" xsi:type="dcterms:W3CDTF">2026-09-25T01:59:30Z</dcterms:modified>
  <cp:revision>0</cp:revision>
</cp:coreProperties>
</file>