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ab 7 Analysis" sheetId="2" state="visible" r:id="rId2"/>
    <sheet xmlns:r="http://schemas.openxmlformats.org/officeDocument/2006/relationships" name="Worked 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"/>
    <numFmt numFmtId="166" formatCode="0.0"/>
    <numFmt numFmtId="167" formatCode="0.00000000"/>
  </numFmts>
  <fonts count="6">
    <font>
      <name val="Calibri"/>
      <family val="2"/>
      <color theme="1"/>
      <sz val="11"/>
      <scheme val="minor"/>
    </font>
    <font>
      <b val="1"/>
      <color rgb="00134A29"/>
      <sz val="13"/>
    </font>
    <font>
      <i val="1"/>
      <color rgb="005C6B62"/>
      <sz val="9"/>
    </font>
    <font>
      <b val="1"/>
    </font>
    <font>
      <b val="1"/>
      <color rgb="00FFFFFF"/>
    </font>
    <font>
      <b val="1"/>
      <color rgb="00134A29"/>
    </font>
  </fonts>
  <fills count="5">
    <fill>
      <patternFill/>
    </fill>
    <fill>
      <patternFill patternType="gray125"/>
    </fill>
    <fill>
      <patternFill patternType="solid">
        <fgColor rgb="00EAF3ED"/>
      </patternFill>
    </fill>
    <fill>
      <patternFill patternType="solid">
        <fgColor rgb="001E6B3C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D7E2DA"/>
      </left>
      <right style="thin">
        <color rgb="00D7E2DA"/>
      </right>
      <top style="thin">
        <color rgb="00D7E2DA"/>
      </top>
      <bottom style="thin">
        <color rgb="00D7E2D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2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2" borderId="0" pivotButton="0" quotePrefix="0" xfId="0"/>
    <xf numFmtId="0" fontId="0" fillId="4" borderId="1" pivotButton="0" quotePrefix="0" xfId="0"/>
    <xf numFmtId="165" fontId="0" fillId="2" borderId="0" pivotButton="0" quotePrefix="0" xfId="0"/>
    <xf numFmtId="0" fontId="5" fillId="0" borderId="0" pivotButton="0" quotePrefix="0" xfId="0"/>
    <xf numFmtId="166" fontId="0" fillId="2" borderId="0" pivotButton="0" quotePrefix="0" xfId="0"/>
    <xf numFmtId="2" fontId="0" fillId="2" borderId="0" pivotButton="0" quotePrefix="0" xfId="0"/>
    <xf numFmtId="167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12" customWidth="1" min="4" max="4"/>
  </cols>
  <sheetData>
    <row r="1">
      <c r="A1" s="1" t="inlineStr">
        <is>
          <t>Lab 7 — Moment of Inertia · raw data</t>
        </is>
      </c>
    </row>
    <row r="2" ht="46" customHeight="1">
      <c r="A2" s="2" t="inlineStr">
        <is>
          <t>The six runs as recorded. Only the hanging mass and the measured angular acceleration are data; everything else in this workbook is derived. NOTE the two radii: the string winds on the PULLEY (r_p) but the spinning body is the DISC (r_D).</t>
        </is>
      </c>
    </row>
    <row r="4">
      <c r="A4" s="3" t="inlineStr">
        <is>
          <t>Constants</t>
        </is>
      </c>
    </row>
    <row r="5">
      <c r="A5" t="inlineStr">
        <is>
          <t>Pulley diameter</t>
        </is>
      </c>
      <c r="B5" t="n">
        <v>2.9</v>
      </c>
      <c r="C5" t="inlineStr">
        <is>
          <t>cm</t>
        </is>
      </c>
    </row>
    <row r="6">
      <c r="A6" t="inlineStr">
        <is>
          <t>Pulley radius, r_p</t>
        </is>
      </c>
      <c r="B6" t="n">
        <v>0.0145</v>
      </c>
      <c r="C6" t="inlineStr">
        <is>
          <t>m</t>
        </is>
      </c>
    </row>
    <row r="7">
      <c r="A7" t="inlineStr">
        <is>
          <t>Disc diameter</t>
        </is>
      </c>
      <c r="B7" t="n">
        <v>8.9</v>
      </c>
      <c r="C7" t="inlineStr">
        <is>
          <t>cm</t>
        </is>
      </c>
    </row>
    <row r="8">
      <c r="A8" t="inlineStr">
        <is>
          <t>Disc radius, r_D</t>
        </is>
      </c>
      <c r="B8" t="n">
        <v>0.0445</v>
      </c>
      <c r="C8" t="inlineStr">
        <is>
          <t>m</t>
        </is>
      </c>
    </row>
    <row r="9">
      <c r="A9" t="inlineStr">
        <is>
          <t>Disc mass, M_D</t>
        </is>
      </c>
      <c r="B9" t="n">
        <v>0.2128</v>
      </c>
      <c r="C9" t="inlineStr">
        <is>
          <t>kg</t>
        </is>
      </c>
    </row>
    <row r="10">
      <c r="A10" t="inlineStr">
        <is>
          <t>g</t>
        </is>
      </c>
      <c r="B10" t="n">
        <v>9.800000000000001</v>
      </c>
      <c r="C10" t="inlineStr">
        <is>
          <t>m/s^2</t>
        </is>
      </c>
    </row>
    <row r="11">
      <c r="A11" t="inlineStr">
        <is>
          <t>I_D = 1/2 M_D r_D^2 (kg m^2)</t>
        </is>
      </c>
      <c r="B11" s="4">
        <f>0.5*B9*B8^2</f>
        <v/>
      </c>
      <c r="C11" s="5" t="inlineStr">
        <is>
          <t>independently determined — the number the graph must reproduce</t>
        </is>
      </c>
    </row>
    <row r="13" ht="32" customHeight="1">
      <c r="A13" s="6" t="inlineStr">
        <is>
          <t>Run</t>
        </is>
      </c>
      <c r="B13" s="6" t="inlineStr">
        <is>
          <t>Hanging mass M_H (g)</t>
        </is>
      </c>
      <c r="C13" s="6" t="inlineStr">
        <is>
          <t>Angular acceleration alpha (rad/s^2)</t>
        </is>
      </c>
      <c r="D13" s="6" t="inlineStr"/>
    </row>
    <row r="14">
      <c r="A14" t="n">
        <v>1</v>
      </c>
      <c r="B14" t="n">
        <v>50</v>
      </c>
      <c r="C14" t="n">
        <v>33</v>
      </c>
    </row>
    <row r="15">
      <c r="A15" t="n">
        <v>2</v>
      </c>
      <c r="B15" t="n">
        <v>60</v>
      </c>
      <c r="C15" t="n">
        <v>40</v>
      </c>
    </row>
    <row r="16">
      <c r="A16" t="n">
        <v>3</v>
      </c>
      <c r="B16" t="n">
        <v>70</v>
      </c>
      <c r="C16" t="n">
        <v>46</v>
      </c>
    </row>
    <row r="17">
      <c r="A17" t="n">
        <v>4</v>
      </c>
      <c r="B17" t="n">
        <v>80</v>
      </c>
      <c r="C17" t="n">
        <v>50</v>
      </c>
    </row>
    <row r="18">
      <c r="A18" t="n">
        <v>5</v>
      </c>
      <c r="B18" t="n">
        <v>90</v>
      </c>
      <c r="C18" t="n">
        <v>57</v>
      </c>
    </row>
    <row r="19">
      <c r="A19" t="n">
        <v>6</v>
      </c>
      <c r="B19" t="n">
        <v>100</v>
      </c>
      <c r="C19" t="n">
        <v>63</v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20" customWidth="1" min="4" max="4"/>
    <col width="13" customWidth="1" min="5" max="5"/>
    <col width="13" customWidth="1" min="6" max="6"/>
    <col width="18" customWidth="1" min="7" max="7"/>
    <col width="18" customWidth="1" min="8" max="8"/>
    <col width="10" customWidth="1" min="9" max="9"/>
  </cols>
  <sheetData>
    <row r="1">
      <c r="A1" s="1" t="inlineStr">
        <is>
          <t>Lab 7 — Moment of Inertia · analysis</t>
        </is>
      </c>
    </row>
    <row r="2" ht="46" customHeight="1">
      <c r="A2" s="2" t="inlineStr">
        <is>
          <t>Shaded amber cells are yours to fill. Everything else is a live formula; do not overtype it. Watch the tension column: it is NOT M_H g.</t>
        </is>
      </c>
    </row>
    <row r="3">
      <c r="A3" s="3" t="inlineStr">
        <is>
          <t>KEY</t>
        </is>
      </c>
      <c r="B3" s="7" t="inlineStr">
        <is>
          <t>you enter</t>
        </is>
      </c>
      <c r="C3" s="8" t="inlineStr">
        <is>
          <t>computed</t>
        </is>
      </c>
    </row>
    <row r="5" ht="32" customHeight="1">
      <c r="A5" s="6" t="inlineStr">
        <is>
          <t>Run</t>
        </is>
      </c>
      <c r="B5" s="6" t="inlineStr">
        <is>
          <t>M_H (kg)</t>
        </is>
      </c>
      <c r="C5" s="6" t="inlineStr">
        <is>
          <t>alpha (rad/s^2)</t>
        </is>
      </c>
      <c r="D5" s="6" t="inlineStr">
        <is>
          <t>a = r_p*alpha (m/s^2)</t>
        </is>
      </c>
      <c r="E5" s="6" t="inlineStr">
        <is>
          <t>M_H g (N)</t>
        </is>
      </c>
      <c r="F5" s="6" t="inlineStr">
        <is>
          <t>M_H a (N)</t>
        </is>
      </c>
      <c r="G5" s="6" t="inlineStr">
        <is>
          <t>T = M_H(g-a) (N)</t>
        </is>
      </c>
      <c r="H5" s="6" t="inlineStr">
        <is>
          <t>tau = r_p T (N m)</t>
        </is>
      </c>
      <c r="I5" s="6" t="inlineStr"/>
    </row>
    <row r="6">
      <c r="A6" t="n">
        <v>1</v>
      </c>
      <c r="B6" s="9" t="n"/>
      <c r="C6" s="9" t="n"/>
      <c r="D6" s="10">
        <f>IF(C6="","",'Raw Data'!$B$6*C6)</f>
        <v/>
      </c>
      <c r="E6" s="10">
        <f>IF(B6="","",B6*'Raw Data'!$B$10)</f>
        <v/>
      </c>
      <c r="F6" s="10">
        <f>IF(OR(B6="",D6=""),"",B6*D6)</f>
        <v/>
      </c>
      <c r="G6" s="10">
        <f>IF(OR(E6="",F6=""),"",E6-F6)</f>
        <v/>
      </c>
      <c r="H6" s="4">
        <f>IF(G6="","",'Raw Data'!$B$6*G6)</f>
        <v/>
      </c>
    </row>
    <row r="7">
      <c r="A7" t="n">
        <v>2</v>
      </c>
      <c r="B7" s="9" t="n"/>
      <c r="C7" s="9" t="n"/>
      <c r="D7" s="10">
        <f>IF(C7="","",'Raw Data'!$B$6*C7)</f>
        <v/>
      </c>
      <c r="E7" s="10">
        <f>IF(B7="","",B7*'Raw Data'!$B$10)</f>
        <v/>
      </c>
      <c r="F7" s="10">
        <f>IF(OR(B7="",D7=""),"",B7*D7)</f>
        <v/>
      </c>
      <c r="G7" s="10">
        <f>IF(OR(E7="",F7=""),"",E7-F7)</f>
        <v/>
      </c>
      <c r="H7" s="4">
        <f>IF(G7="","",'Raw Data'!$B$6*G7)</f>
        <v/>
      </c>
    </row>
    <row r="8">
      <c r="A8" t="n">
        <v>3</v>
      </c>
      <c r="B8" s="9" t="n"/>
      <c r="C8" s="9" t="n"/>
      <c r="D8" s="10">
        <f>IF(C8="","",'Raw Data'!$B$6*C8)</f>
        <v/>
      </c>
      <c r="E8" s="10">
        <f>IF(B8="","",B8*'Raw Data'!$B$10)</f>
        <v/>
      </c>
      <c r="F8" s="10">
        <f>IF(OR(B8="",D8=""),"",B8*D8)</f>
        <v/>
      </c>
      <c r="G8" s="10">
        <f>IF(OR(E8="",F8=""),"",E8-F8)</f>
        <v/>
      </c>
      <c r="H8" s="4">
        <f>IF(G8="","",'Raw Data'!$B$6*G8)</f>
        <v/>
      </c>
    </row>
    <row r="9">
      <c r="A9" t="n">
        <v>4</v>
      </c>
      <c r="B9" s="9" t="n"/>
      <c r="C9" s="9" t="n"/>
      <c r="D9" s="10">
        <f>IF(C9="","",'Raw Data'!$B$6*C9)</f>
        <v/>
      </c>
      <c r="E9" s="10">
        <f>IF(B9="","",B9*'Raw Data'!$B$10)</f>
        <v/>
      </c>
      <c r="F9" s="10">
        <f>IF(OR(B9="",D9=""),"",B9*D9)</f>
        <v/>
      </c>
      <c r="G9" s="10">
        <f>IF(OR(E9="",F9=""),"",E9-F9)</f>
        <v/>
      </c>
      <c r="H9" s="4">
        <f>IF(G9="","",'Raw Data'!$B$6*G9)</f>
        <v/>
      </c>
    </row>
    <row r="10">
      <c r="A10" t="n">
        <v>5</v>
      </c>
      <c r="B10" s="9" t="n"/>
      <c r="C10" s="9" t="n"/>
      <c r="D10" s="10">
        <f>IF(C10="","",'Raw Data'!$B$6*C10)</f>
        <v/>
      </c>
      <c r="E10" s="10">
        <f>IF(B10="","",B10*'Raw Data'!$B$10)</f>
        <v/>
      </c>
      <c r="F10" s="10">
        <f>IF(OR(B10="",D10=""),"",B10*D10)</f>
        <v/>
      </c>
      <c r="G10" s="10">
        <f>IF(OR(E10="",F10=""),"",E10-F10)</f>
        <v/>
      </c>
      <c r="H10" s="4">
        <f>IF(G10="","",'Raw Data'!$B$6*G10)</f>
        <v/>
      </c>
    </row>
    <row r="11">
      <c r="A11" t="n">
        <v>6</v>
      </c>
      <c r="B11" s="9" t="n"/>
      <c r="C11" s="9" t="n"/>
      <c r="D11" s="10">
        <f>IF(C11="","",'Raw Data'!$B$6*C11)</f>
        <v/>
      </c>
      <c r="E11" s="10">
        <f>IF(B11="","",B11*'Raw Data'!$B$10)</f>
        <v/>
      </c>
      <c r="F11" s="10">
        <f>IF(OR(B11="",D11=""),"",B11*D11)</f>
        <v/>
      </c>
      <c r="G11" s="10">
        <f>IF(OR(E11="",F11=""),"",E11-F11)</f>
        <v/>
      </c>
      <c r="H11" s="4">
        <f>IF(G11="","",'Raw Data'!$B$6*G11)</f>
        <v/>
      </c>
    </row>
    <row r="13">
      <c r="A13" s="11" t="inlineStr">
        <is>
          <t>The straight-line fit of alpha against tau</t>
        </is>
      </c>
    </row>
    <row r="14">
      <c r="A14" t="inlineStr">
        <is>
          <t>Slope (rad/s^2 per N m)</t>
        </is>
      </c>
      <c r="B14" s="12">
        <f>IFERROR(SLOPE($C$6:$C$11,$H$6:$H$11),"")</f>
        <v/>
      </c>
    </row>
    <row r="15">
      <c r="A15" t="inlineStr">
        <is>
          <t>Uncertainty in slope</t>
        </is>
      </c>
      <c r="B15" s="12">
        <f>IFERROR(INDEX(LINEST($C$6:$C$11,$H$6:$H$11,TRUE,TRUE),2,1),"")</f>
        <v/>
      </c>
    </row>
    <row r="16">
      <c r="A16" t="inlineStr">
        <is>
          <t>Intercept (rad/s^2)</t>
        </is>
      </c>
      <c r="B16" s="13">
        <f>IFERROR(INTERCEPT($C$6:$C$11,$H$6:$H$11),"")</f>
        <v/>
      </c>
    </row>
    <row r="17">
      <c r="A17" t="inlineStr">
        <is>
          <t>R^2</t>
        </is>
      </c>
      <c r="B17" s="10">
        <f>IFERROR(RSQ($C$6:$C$11,$H$6:$H$11),"")</f>
        <v/>
      </c>
    </row>
    <row r="18">
      <c r="A18" t="inlineStr">
        <is>
          <t>I from slope = 1/slope (kg m^2)</t>
        </is>
      </c>
      <c r="B18" s="14">
        <f>IFERROR(1/B14,"")</f>
        <v/>
      </c>
    </row>
    <row r="19">
      <c r="A19" t="inlineStr">
        <is>
          <t>delta-I = delta-slope / slope^2</t>
        </is>
      </c>
      <c r="B19" s="14">
        <f>IFERROR(B15/B14^2,"")</f>
        <v/>
      </c>
    </row>
    <row r="20">
      <c r="A20" t="inlineStr">
        <is>
          <t>I independent = 1/2 M r^2</t>
        </is>
      </c>
      <c r="B20" s="14">
        <f>'Raw Data'!$B$11</f>
        <v/>
      </c>
    </row>
    <row r="21">
      <c r="A21" t="inlineStr">
        <is>
          <t>% difference</t>
        </is>
      </c>
      <c r="B21" s="13">
        <f>IFERROR(100*(B18-B20)/B20,"")</f>
        <v/>
      </c>
    </row>
    <row r="23" ht="28" customHeight="1">
      <c r="A23" s="2" t="inlineStr">
        <is>
          <t>The slope is 1/I, not I. Invert it, and propagate the uncertainty as delta-I = delta-slope / slope^2 — AQ4 asks you to derive that.</t>
        </is>
      </c>
    </row>
  </sheetData>
  <mergeCells count="2">
    <mergeCell ref="A23:H2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20" customWidth="1" min="4" max="4"/>
    <col width="13" customWidth="1" min="5" max="5"/>
    <col width="13" customWidth="1" min="6" max="6"/>
    <col width="18" customWidth="1" min="7" max="7"/>
    <col width="18" customWidth="1" min="8" max="8"/>
    <col width="10" customWidth="1" min="9" max="9"/>
  </cols>
  <sheetData>
    <row r="1">
      <c r="A1" s="1" t="inlineStr">
        <is>
          <t>Lab 7 — Moment of Inertia · analysis</t>
        </is>
      </c>
    </row>
    <row r="2" ht="46" customHeight="1">
      <c r="A2" s="2" t="inlineStr">
        <is>
          <t>Filled with all six runs worked through so you can see the shape of a finished analysis.</t>
        </is>
      </c>
    </row>
    <row r="3">
      <c r="A3" s="3" t="inlineStr">
        <is>
          <t>KEY</t>
        </is>
      </c>
      <c r="B3" s="7" t="inlineStr">
        <is>
          <t>you enter</t>
        </is>
      </c>
      <c r="C3" s="8" t="inlineStr">
        <is>
          <t>computed</t>
        </is>
      </c>
    </row>
    <row r="5" ht="32" customHeight="1">
      <c r="A5" s="6" t="inlineStr">
        <is>
          <t>Run</t>
        </is>
      </c>
      <c r="B5" s="6" t="inlineStr">
        <is>
          <t>M_H (kg)</t>
        </is>
      </c>
      <c r="C5" s="6" t="inlineStr">
        <is>
          <t>alpha (rad/s^2)</t>
        </is>
      </c>
      <c r="D5" s="6" t="inlineStr">
        <is>
          <t>a = r_p*alpha (m/s^2)</t>
        </is>
      </c>
      <c r="E5" s="6" t="inlineStr">
        <is>
          <t>M_H g (N)</t>
        </is>
      </c>
      <c r="F5" s="6" t="inlineStr">
        <is>
          <t>M_H a (N)</t>
        </is>
      </c>
      <c r="G5" s="6" t="inlineStr">
        <is>
          <t>T = M_H(g-a) (N)</t>
        </is>
      </c>
      <c r="H5" s="6" t="inlineStr">
        <is>
          <t>tau = r_p T (N m)</t>
        </is>
      </c>
      <c r="I5" s="6" t="inlineStr"/>
    </row>
    <row r="6">
      <c r="A6" t="n">
        <v>1</v>
      </c>
      <c r="B6" s="9" t="n">
        <v>0.05</v>
      </c>
      <c r="C6" s="9" t="n">
        <v>33</v>
      </c>
      <c r="D6" s="10">
        <f>IF(C6="","",'Raw Data'!$B$6*C6)</f>
        <v/>
      </c>
      <c r="E6" s="10">
        <f>IF(B6="","",B6*'Raw Data'!$B$10)</f>
        <v/>
      </c>
      <c r="F6" s="10">
        <f>IF(OR(B6="",D6=""),"",B6*D6)</f>
        <v/>
      </c>
      <c r="G6" s="10">
        <f>IF(OR(E6="",F6=""),"",E6-F6)</f>
        <v/>
      </c>
      <c r="H6" s="4">
        <f>IF(G6="","",'Raw Data'!$B$6*G6)</f>
        <v/>
      </c>
    </row>
    <row r="7">
      <c r="A7" t="n">
        <v>2</v>
      </c>
      <c r="B7" s="9" t="n">
        <v>0.06</v>
      </c>
      <c r="C7" s="9" t="n">
        <v>40</v>
      </c>
      <c r="D7" s="10">
        <f>IF(C7="","",'Raw Data'!$B$6*C7)</f>
        <v/>
      </c>
      <c r="E7" s="10">
        <f>IF(B7="","",B7*'Raw Data'!$B$10)</f>
        <v/>
      </c>
      <c r="F7" s="10">
        <f>IF(OR(B7="",D7=""),"",B7*D7)</f>
        <v/>
      </c>
      <c r="G7" s="10">
        <f>IF(OR(E7="",F7=""),"",E7-F7)</f>
        <v/>
      </c>
      <c r="H7" s="4">
        <f>IF(G7="","",'Raw Data'!$B$6*G7)</f>
        <v/>
      </c>
    </row>
    <row r="8">
      <c r="A8" t="n">
        <v>3</v>
      </c>
      <c r="B8" s="9" t="n">
        <v>0.07000000000000001</v>
      </c>
      <c r="C8" s="9" t="n">
        <v>46</v>
      </c>
      <c r="D8" s="10">
        <f>IF(C8="","",'Raw Data'!$B$6*C8)</f>
        <v/>
      </c>
      <c r="E8" s="10">
        <f>IF(B8="","",B8*'Raw Data'!$B$10)</f>
        <v/>
      </c>
      <c r="F8" s="10">
        <f>IF(OR(B8="",D8=""),"",B8*D8)</f>
        <v/>
      </c>
      <c r="G8" s="10">
        <f>IF(OR(E8="",F8=""),"",E8-F8)</f>
        <v/>
      </c>
      <c r="H8" s="4">
        <f>IF(G8="","",'Raw Data'!$B$6*G8)</f>
        <v/>
      </c>
    </row>
    <row r="9">
      <c r="A9" t="n">
        <v>4</v>
      </c>
      <c r="B9" s="9" t="n">
        <v>0.08</v>
      </c>
      <c r="C9" s="9" t="n">
        <v>50</v>
      </c>
      <c r="D9" s="10">
        <f>IF(C9="","",'Raw Data'!$B$6*C9)</f>
        <v/>
      </c>
      <c r="E9" s="10">
        <f>IF(B9="","",B9*'Raw Data'!$B$10)</f>
        <v/>
      </c>
      <c r="F9" s="10">
        <f>IF(OR(B9="",D9=""),"",B9*D9)</f>
        <v/>
      </c>
      <c r="G9" s="10">
        <f>IF(OR(E9="",F9=""),"",E9-F9)</f>
        <v/>
      </c>
      <c r="H9" s="4">
        <f>IF(G9="","",'Raw Data'!$B$6*G9)</f>
        <v/>
      </c>
    </row>
    <row r="10">
      <c r="A10" t="n">
        <v>5</v>
      </c>
      <c r="B10" s="9" t="n">
        <v>0.09</v>
      </c>
      <c r="C10" s="9" t="n">
        <v>57</v>
      </c>
      <c r="D10" s="10">
        <f>IF(C10="","",'Raw Data'!$B$6*C10)</f>
        <v/>
      </c>
      <c r="E10" s="10">
        <f>IF(B10="","",B10*'Raw Data'!$B$10)</f>
        <v/>
      </c>
      <c r="F10" s="10">
        <f>IF(OR(B10="",D10=""),"",B10*D10)</f>
        <v/>
      </c>
      <c r="G10" s="10">
        <f>IF(OR(E10="",F10=""),"",E10-F10)</f>
        <v/>
      </c>
      <c r="H10" s="4">
        <f>IF(G10="","",'Raw Data'!$B$6*G10)</f>
        <v/>
      </c>
    </row>
    <row r="11">
      <c r="A11" t="n">
        <v>6</v>
      </c>
      <c r="B11" s="9" t="n">
        <v>0.1</v>
      </c>
      <c r="C11" s="9" t="n">
        <v>63</v>
      </c>
      <c r="D11" s="10">
        <f>IF(C11="","",'Raw Data'!$B$6*C11)</f>
        <v/>
      </c>
      <c r="E11" s="10">
        <f>IF(B11="","",B11*'Raw Data'!$B$10)</f>
        <v/>
      </c>
      <c r="F11" s="10">
        <f>IF(OR(B11="",D11=""),"",B11*D11)</f>
        <v/>
      </c>
      <c r="G11" s="10">
        <f>IF(OR(E11="",F11=""),"",E11-F11)</f>
        <v/>
      </c>
      <c r="H11" s="4">
        <f>IF(G11="","",'Raw Data'!$B$6*G11)</f>
        <v/>
      </c>
    </row>
    <row r="13">
      <c r="A13" s="11" t="inlineStr">
        <is>
          <t>The straight-line fit of alpha against tau</t>
        </is>
      </c>
    </row>
    <row r="14">
      <c r="A14" t="inlineStr">
        <is>
          <t>Slope (rad/s^2 per N m)</t>
        </is>
      </c>
      <c r="B14" s="12">
        <f>IFERROR(SLOPE($C$6:$C$11,$H$6:$H$11),"")</f>
        <v/>
      </c>
    </row>
    <row r="15">
      <c r="A15" t="inlineStr">
        <is>
          <t>Uncertainty in slope</t>
        </is>
      </c>
      <c r="B15" s="12">
        <f>IFERROR(INDEX(LINEST($C$6:$C$11,$H$6:$H$11,TRUE,TRUE),2,1),"")</f>
        <v/>
      </c>
    </row>
    <row r="16">
      <c r="A16" t="inlineStr">
        <is>
          <t>Intercept (rad/s^2)</t>
        </is>
      </c>
      <c r="B16" s="13">
        <f>IFERROR(INTERCEPT($C$6:$C$11,$H$6:$H$11),"")</f>
        <v/>
      </c>
    </row>
    <row r="17">
      <c r="A17" t="inlineStr">
        <is>
          <t>R^2</t>
        </is>
      </c>
      <c r="B17" s="10">
        <f>IFERROR(RSQ($C$6:$C$11,$H$6:$H$11),"")</f>
        <v/>
      </c>
    </row>
    <row r="18">
      <c r="A18" t="inlineStr">
        <is>
          <t>I from slope = 1/slope (kg m^2)</t>
        </is>
      </c>
      <c r="B18" s="14">
        <f>IFERROR(1/B14,"")</f>
        <v/>
      </c>
    </row>
    <row r="19">
      <c r="A19" t="inlineStr">
        <is>
          <t>delta-I = delta-slope / slope^2</t>
        </is>
      </c>
      <c r="B19" s="14">
        <f>IFERROR(B15/B14^2,"")</f>
        <v/>
      </c>
    </row>
    <row r="20">
      <c r="A20" t="inlineStr">
        <is>
          <t>I independent = 1/2 M r^2</t>
        </is>
      </c>
      <c r="B20" s="14">
        <f>'Raw Data'!$B$11</f>
        <v/>
      </c>
    </row>
    <row r="21">
      <c r="A21" t="inlineStr">
        <is>
          <t>% difference</t>
        </is>
      </c>
      <c r="B21" s="13">
        <f>IFERROR(100*(B18-B20)/B20,"")</f>
        <v/>
      </c>
    </row>
    <row r="23" ht="28" customHeight="1">
      <c r="A23" s="2" t="inlineStr">
        <is>
          <t>The slope is 1/I, not I. Invert it, and propagate the uncertainty as delta-I = delta-slope / slope^2 — AQ4 asks you to derive that.</t>
        </is>
      </c>
    </row>
  </sheetData>
  <mergeCells count="2">
    <mergeCell ref="A23:H2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2026-10-23T04:40:54Z</dcterms:created>
  <dcterms:modified xmlns:dcterms="http://purl.org/dc/terms/" xmlns:xsi="http://www.w3.org/2001/XMLSchema-instance" xsi:type="dcterms:W3CDTF">2026-10-23T04:40:54Z</dcterms:modified>
</cp:coreProperties>
</file>