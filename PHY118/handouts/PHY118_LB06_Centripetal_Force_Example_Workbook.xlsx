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Lab 6 Analysis" sheetId="2" state="visible" r:id="rId2"/>
    <sheet xmlns:r="http://schemas.openxmlformats.org/officeDocument/2006/relationships" name="Worked Example" sheetId="3" state="visible" r:id="rId3"/>
  </sheets>
  <definedNames/>
  <calcPr calcId="124519" fullCalcOnLoad="1"/>
</workbook>
</file>

<file path=xl/styles.xml><?xml version="1.0" encoding="utf-8"?>
<styleSheet xmlns="http://schemas.openxmlformats.org/spreadsheetml/2006/main">
  <numFmts count="3">
    <numFmt numFmtId="164" formatCode="0.0000"/>
    <numFmt numFmtId="165" formatCode="0.00000"/>
    <numFmt numFmtId="166" formatCode="0.000"/>
  </numFmts>
  <fonts count="6">
    <font>
      <name val="Calibri"/>
      <family val="2"/>
      <color theme="1"/>
      <sz val="11"/>
      <scheme val="minor"/>
    </font>
    <font>
      <b val="1"/>
      <color rgb="00134A29"/>
      <sz val="13"/>
    </font>
    <font>
      <i val="1"/>
      <color rgb="005C6B62"/>
      <sz val="9"/>
    </font>
    <font>
      <b val="1"/>
    </font>
    <font>
      <b val="1"/>
      <color rgb="00FFFFFF"/>
    </font>
    <font>
      <b val="1"/>
      <color rgb="00134A29"/>
    </font>
  </fonts>
  <fills count="5">
    <fill>
      <patternFill/>
    </fill>
    <fill>
      <patternFill patternType="gray125"/>
    </fill>
    <fill>
      <patternFill patternType="solid">
        <fgColor rgb="001E6B3C"/>
      </patternFill>
    </fill>
    <fill>
      <patternFill patternType="solid">
        <fgColor rgb="00FFF4E0"/>
      </patternFill>
    </fill>
    <fill>
      <patternFill patternType="solid">
        <fgColor rgb="00EAF3ED"/>
      </patternFill>
    </fill>
  </fills>
  <borders count="2">
    <border>
      <left/>
      <right/>
      <top/>
      <bottom/>
      <diagonal/>
    </border>
    <border>
      <left style="thin">
        <color rgb="00D7E2DA"/>
      </left>
      <right style="thin">
        <color rgb="00D7E2DA"/>
      </right>
      <top style="thin">
        <color rgb="00D7E2DA"/>
      </top>
      <bottom style="thin">
        <color rgb="00D7E2DA"/>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3" borderId="1" pivotButton="0" quotePrefix="0" xfId="0"/>
    <xf numFmtId="164" fontId="0" fillId="4" borderId="0" pivotButton="0" quotePrefix="0" xfId="0"/>
    <xf numFmtId="164" fontId="0" fillId="3" borderId="1" pivotButton="0" quotePrefix="0" xfId="0"/>
    <xf numFmtId="0" fontId="5" fillId="0" borderId="0" pivotButton="0" quotePrefix="0" xfId="0"/>
    <xf numFmtId="165" fontId="0" fillId="4" borderId="0" pivotButton="0" quotePrefix="0" xfId="0"/>
    <xf numFmtId="166"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6" customWidth="1" min="1" max="1"/>
    <col width="26" customWidth="1" min="2" max="2"/>
    <col width="22" customWidth="1" min="3" max="3"/>
    <col width="12" customWidth="1" min="4" max="4"/>
  </cols>
  <sheetData>
    <row r="1">
      <c r="A1" s="1" t="inlineStr">
        <is>
          <t>Lab 6 — Centripetal Force · raw data</t>
        </is>
      </c>
    </row>
    <row r="2" ht="46" customHeight="1">
      <c r="A2" s="2" t="inlineStr">
        <is>
          <t>The five runs as recorded. The radius was held fixed at 50.0 cm by the marker clip, and the same rubber stopper was used throughout. The hanging mass INCLUDES the paper clip. Only the washer count and the timing change between runs.</t>
        </is>
      </c>
    </row>
    <row r="4">
      <c r="A4" s="3" t="inlineStr">
        <is>
          <t>Constants</t>
        </is>
      </c>
    </row>
    <row r="5">
      <c r="A5" t="inlineStr">
        <is>
          <t>10 washers</t>
        </is>
      </c>
      <c r="B5" t="n">
        <v>70.06999999999999</v>
      </c>
      <c r="C5" t="inlineStr">
        <is>
          <t>g</t>
        </is>
      </c>
    </row>
    <row r="6">
      <c r="A6" t="inlineStr">
        <is>
          <t>Rubber stopper, m</t>
        </is>
      </c>
      <c r="B6" t="n">
        <v>10.09</v>
      </c>
      <c r="C6" t="inlineStr">
        <is>
          <t>g</t>
        </is>
      </c>
    </row>
    <row r="7">
      <c r="A7" t="inlineStr">
        <is>
          <t>Paper clip</t>
        </is>
      </c>
      <c r="B7" t="n">
        <v>1.6</v>
      </c>
      <c r="C7" t="inlineStr">
        <is>
          <t>g</t>
        </is>
      </c>
    </row>
    <row r="8">
      <c r="A8" t="inlineStr">
        <is>
          <t>Radius, r</t>
        </is>
      </c>
      <c r="B8" t="n">
        <v>50</v>
      </c>
      <c r="C8" t="inlineStr">
        <is>
          <t>cm</t>
        </is>
      </c>
    </row>
    <row r="9">
      <c r="A9" t="inlineStr">
        <is>
          <t>g</t>
        </is>
      </c>
      <c r="B9" t="n">
        <v>9.800000000000001</v>
      </c>
      <c r="C9" t="inlineStr">
        <is>
          <t>m/s^2</t>
        </is>
      </c>
    </row>
    <row r="11" ht="32" customHeight="1">
      <c r="A11" s="4" t="inlineStr">
        <is>
          <t>Washers</t>
        </is>
      </c>
      <c r="B11" s="4" t="inlineStr">
        <is>
          <t>M_hanging incl. clip (kg)</t>
        </is>
      </c>
      <c r="C11" s="4" t="inlineStr">
        <is>
          <t>Time for 30 rev (s)</t>
        </is>
      </c>
      <c r="D11" s="4" t="inlineStr"/>
    </row>
    <row r="12">
      <c r="A12" t="n">
        <v>4</v>
      </c>
      <c r="B12" t="n">
        <v>0.02963</v>
      </c>
      <c r="C12" t="n">
        <v>20.86</v>
      </c>
    </row>
    <row r="13">
      <c r="A13" t="n">
        <v>8</v>
      </c>
      <c r="B13" t="n">
        <v>0.05766</v>
      </c>
      <c r="C13" t="n">
        <v>17.42</v>
      </c>
    </row>
    <row r="14">
      <c r="A14" t="n">
        <v>12</v>
      </c>
      <c r="B14" t="n">
        <v>0.08568000000000001</v>
      </c>
      <c r="C14" t="n">
        <v>14.72</v>
      </c>
    </row>
    <row r="15">
      <c r="A15" t="n">
        <v>16</v>
      </c>
      <c r="B15" t="n">
        <v>0.1137</v>
      </c>
      <c r="C15" t="n">
        <v>12.34</v>
      </c>
    </row>
    <row r="16">
      <c r="A16" t="n">
        <v>20</v>
      </c>
      <c r="B16" t="n">
        <v>0.1417</v>
      </c>
      <c r="C16" t="n">
        <v>11.29</v>
      </c>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0" customWidth="1" min="1" max="1"/>
    <col width="17" customWidth="1" min="2" max="2"/>
    <col width="15" customWidth="1" min="3" max="3"/>
    <col width="17" customWidth="1" min="4" max="4"/>
    <col width="20" customWidth="1" min="5" max="5"/>
    <col width="16" customWidth="1" min="6" max="6"/>
    <col width="12" customWidth="1" min="7" max="7"/>
    <col width="12" customWidth="1" min="8" max="8"/>
  </cols>
  <sheetData>
    <row r="1">
      <c r="A1" s="1" t="inlineStr">
        <is>
          <t>Lab 6 — Centripetal Force · analysis</t>
        </is>
      </c>
    </row>
    <row r="2" ht="46" customHeight="1">
      <c r="A2" s="2" t="inlineStr">
        <is>
          <t>Shaded amber cells are yours to fill. Everything else is a live formula; do not overtype it. Work left to right: force, period, speed, speed squared.</t>
        </is>
      </c>
    </row>
    <row r="3">
      <c r="A3" s="3" t="inlineStr">
        <is>
          <t>KEY</t>
        </is>
      </c>
      <c r="B3" s="5" t="inlineStr">
        <is>
          <t>you enter</t>
        </is>
      </c>
      <c r="C3" s="6" t="inlineStr">
        <is>
          <t>computed</t>
        </is>
      </c>
    </row>
    <row r="5" ht="32" customHeight="1">
      <c r="A5" s="4" t="inlineStr">
        <is>
          <t>Washers</t>
        </is>
      </c>
      <c r="B5" s="4" t="inlineStr">
        <is>
          <t>M_hanging (kg)</t>
        </is>
      </c>
      <c r="C5" s="4" t="inlineStr">
        <is>
          <t>F_c = M g (N)</t>
        </is>
      </c>
      <c r="D5" s="4" t="inlineStr">
        <is>
          <t>Period P = t/30 (s)</t>
        </is>
      </c>
      <c r="E5" s="4" t="inlineStr">
        <is>
          <t>Speed v = 2*pi*r/P (m/s)</t>
        </is>
      </c>
      <c r="F5" s="4" t="inlineStr">
        <is>
          <t>v^2 (m^2/s^2)</t>
        </is>
      </c>
      <c r="G5" s="4" t="inlineStr"/>
      <c r="H5" s="4" t="inlineStr"/>
    </row>
    <row r="6">
      <c r="A6" t="n">
        <v>4</v>
      </c>
      <c r="B6" s="7" t="n"/>
      <c r="C6" s="8">
        <f>IF(B6="","",B6*'Raw Data'!$B$9)</f>
        <v/>
      </c>
      <c r="D6" s="9" t="n"/>
      <c r="E6" s="8">
        <f>IF(D6="","",2*PI()*('Raw Data'!$B$8/100)/D6)</f>
        <v/>
      </c>
      <c r="F6" s="8">
        <f>IF(E6="","",E6^2)</f>
        <v/>
      </c>
    </row>
    <row r="7">
      <c r="A7" t="n">
        <v>8</v>
      </c>
      <c r="B7" s="7" t="n"/>
      <c r="C7" s="8">
        <f>IF(B7="","",B7*'Raw Data'!$B$9)</f>
        <v/>
      </c>
      <c r="D7" s="9" t="n"/>
      <c r="E7" s="8">
        <f>IF(D7="","",2*PI()*('Raw Data'!$B$8/100)/D7)</f>
        <v/>
      </c>
      <c r="F7" s="8">
        <f>IF(E7="","",E7^2)</f>
        <v/>
      </c>
    </row>
    <row r="8">
      <c r="A8" t="n">
        <v>12</v>
      </c>
      <c r="B8" s="7" t="n"/>
      <c r="C8" s="8">
        <f>IF(B8="","",B8*'Raw Data'!$B$9)</f>
        <v/>
      </c>
      <c r="D8" s="9" t="n"/>
      <c r="E8" s="8">
        <f>IF(D8="","",2*PI()*('Raw Data'!$B$8/100)/D8)</f>
        <v/>
      </c>
      <c r="F8" s="8">
        <f>IF(E8="","",E8^2)</f>
        <v/>
      </c>
    </row>
    <row r="9">
      <c r="A9" t="n">
        <v>16</v>
      </c>
      <c r="B9" s="7" t="n"/>
      <c r="C9" s="8">
        <f>IF(B9="","",B9*'Raw Data'!$B$9)</f>
        <v/>
      </c>
      <c r="D9" s="9" t="n"/>
      <c r="E9" s="8">
        <f>IF(D9="","",2*PI()*('Raw Data'!$B$8/100)/D9)</f>
        <v/>
      </c>
      <c r="F9" s="8">
        <f>IF(E9="","",E9^2)</f>
        <v/>
      </c>
    </row>
    <row r="10">
      <c r="A10" t="n">
        <v>20</v>
      </c>
      <c r="B10" s="7" t="n"/>
      <c r="C10" s="8">
        <f>IF(B10="","",B10*'Raw Data'!$B$9)</f>
        <v/>
      </c>
      <c r="D10" s="9" t="n"/>
      <c r="E10" s="8">
        <f>IF(D10="","",2*PI()*('Raw Data'!$B$8/100)/D10)</f>
        <v/>
      </c>
      <c r="F10" s="8">
        <f>IF(E10="","",E10^2)</f>
        <v/>
      </c>
    </row>
    <row r="12">
      <c r="A12" s="10" t="inlineStr">
        <is>
          <t>The straight-line fit of F_c against v^2</t>
        </is>
      </c>
    </row>
    <row r="13">
      <c r="A13" t="inlineStr">
        <is>
          <t>Slope, free fit (kg/m)</t>
        </is>
      </c>
      <c r="B13" s="11">
        <f>IFERROR(SLOPE($C$6:$C$10,$F$6:$F$10),"")</f>
        <v/>
      </c>
    </row>
    <row r="14">
      <c r="A14" t="inlineStr">
        <is>
          <t>Uncertainty in slope</t>
        </is>
      </c>
      <c r="B14" s="11">
        <f>IFERROR(INDEX(LINEST($C$6:$C$10,$F$6:$F$10,TRUE,TRUE),2,1),"")</f>
        <v/>
      </c>
    </row>
    <row r="15">
      <c r="A15" t="inlineStr">
        <is>
          <t>Intercept (N)</t>
        </is>
      </c>
      <c r="B15" s="11">
        <f>IFERROR(INTERCEPT($C$6:$C$10,$F$6:$F$10),"")</f>
        <v/>
      </c>
    </row>
    <row r="16">
      <c r="A16" t="inlineStr">
        <is>
          <t>R^2</t>
        </is>
      </c>
      <c r="B16" s="11">
        <f>IFERROR(RSQ($C$6:$C$10,$F$6:$F$10),"")</f>
        <v/>
      </c>
    </row>
    <row r="17">
      <c r="A17" t="inlineStr">
        <is>
          <t>Slope, forced through origin</t>
        </is>
      </c>
      <c r="B17" s="11">
        <f>IFERROR(SUMPRODUCT($F$6:$F$10,$C$6:$C$10)/SUMPRODUCT($F$6:$F$10,$F$6:$F$10),"")</f>
        <v/>
      </c>
    </row>
    <row r="18">
      <c r="A18" t="inlineStr">
        <is>
          <t>m from free slope (g)</t>
        </is>
      </c>
      <c r="B18" s="12">
        <f>IFERROR(B13*('Raw Data'!$B$8/100)*1000,"")</f>
        <v/>
      </c>
    </row>
    <row r="19">
      <c r="A19" t="inlineStr">
        <is>
          <t>m from origin-forced slope (g)</t>
        </is>
      </c>
      <c r="B19" s="12">
        <f>IFERROR(B17*('Raw Data'!$B$8/100)*1000,"")</f>
        <v/>
      </c>
    </row>
    <row r="20">
      <c r="A20" t="inlineStr">
        <is>
          <t>m from the balance (g)</t>
        </is>
      </c>
      <c r="B20" s="12">
        <f>'Raw Data'!$B$6</f>
        <v/>
      </c>
    </row>
    <row r="21">
      <c r="A21" t="inlineStr">
        <is>
          <t>% difference, free fit</t>
        </is>
      </c>
      <c r="B21" s="12">
        <f>IFERROR(100*(B18-B20)/B20,"")</f>
        <v/>
      </c>
    </row>
    <row r="22">
      <c r="A22" t="inlineStr">
        <is>
          <t>% difference, origin-forced</t>
        </is>
      </c>
      <c r="B22" s="12">
        <f>IFERROR(100*(B19-B20)/B20,"")</f>
        <v/>
      </c>
    </row>
    <row r="25" ht="30" customHeight="1">
      <c r="A25" s="2" t="inlineStr">
        <is>
          <t>The model says the intercept should be zero: no speed, no force. It is not. The gap between the two mass values is that intercept doing its work — AQ1.</t>
        </is>
      </c>
    </row>
  </sheetData>
  <mergeCells count="2">
    <mergeCell ref="A2:H2"/>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0" customWidth="1" min="1" max="1"/>
    <col width="17" customWidth="1" min="2" max="2"/>
    <col width="15" customWidth="1" min="3" max="3"/>
    <col width="17" customWidth="1" min="4" max="4"/>
    <col width="20" customWidth="1" min="5" max="5"/>
    <col width="16" customWidth="1" min="6" max="6"/>
    <col width="12" customWidth="1" min="7" max="7"/>
    <col width="12" customWidth="1" min="8" max="8"/>
  </cols>
  <sheetData>
    <row r="1">
      <c r="A1" s="1" t="inlineStr">
        <is>
          <t>Lab 6 — Centripetal Force · analysis</t>
        </is>
      </c>
    </row>
    <row r="2" ht="46" customHeight="1">
      <c r="A2" s="2" t="inlineStr">
        <is>
          <t>Filled with all five runs worked through so you can see the shape of a finished analysis.</t>
        </is>
      </c>
    </row>
    <row r="3">
      <c r="A3" s="3" t="inlineStr">
        <is>
          <t>KEY</t>
        </is>
      </c>
      <c r="B3" s="5" t="inlineStr">
        <is>
          <t>you enter</t>
        </is>
      </c>
      <c r="C3" s="6" t="inlineStr">
        <is>
          <t>computed</t>
        </is>
      </c>
    </row>
    <row r="5" ht="32" customHeight="1">
      <c r="A5" s="4" t="inlineStr">
        <is>
          <t>Washers</t>
        </is>
      </c>
      <c r="B5" s="4" t="inlineStr">
        <is>
          <t>M_hanging (kg)</t>
        </is>
      </c>
      <c r="C5" s="4" t="inlineStr">
        <is>
          <t>F_c = M g (N)</t>
        </is>
      </c>
      <c r="D5" s="4" t="inlineStr">
        <is>
          <t>Period P = t/30 (s)</t>
        </is>
      </c>
      <c r="E5" s="4" t="inlineStr">
        <is>
          <t>Speed v = 2*pi*r/P (m/s)</t>
        </is>
      </c>
      <c r="F5" s="4" t="inlineStr">
        <is>
          <t>v^2 (m^2/s^2)</t>
        </is>
      </c>
      <c r="G5" s="4" t="inlineStr"/>
      <c r="H5" s="4" t="inlineStr"/>
    </row>
    <row r="6">
      <c r="A6" t="n">
        <v>4</v>
      </c>
      <c r="B6" s="7" t="n">
        <v>0.02963</v>
      </c>
      <c r="C6" s="8">
        <f>IF(B6="","",B6*'Raw Data'!$B$9)</f>
        <v/>
      </c>
      <c r="D6" s="9" t="n">
        <v>0.6953333333333334</v>
      </c>
      <c r="E6" s="8">
        <f>IF(D6="","",2*PI()*('Raw Data'!$B$8/100)/D6)</f>
        <v/>
      </c>
      <c r="F6" s="8">
        <f>IF(E6="","",E6^2)</f>
        <v/>
      </c>
    </row>
    <row r="7">
      <c r="A7" t="n">
        <v>8</v>
      </c>
      <c r="B7" s="7" t="n">
        <v>0.05766</v>
      </c>
      <c r="C7" s="8">
        <f>IF(B7="","",B7*'Raw Data'!$B$9)</f>
        <v/>
      </c>
      <c r="D7" s="9" t="n">
        <v>0.5806666666666668</v>
      </c>
      <c r="E7" s="8">
        <f>IF(D7="","",2*PI()*('Raw Data'!$B$8/100)/D7)</f>
        <v/>
      </c>
      <c r="F7" s="8">
        <f>IF(E7="","",E7^2)</f>
        <v/>
      </c>
    </row>
    <row r="8">
      <c r="A8" t="n">
        <v>12</v>
      </c>
      <c r="B8" s="7" t="n">
        <v>0.08568000000000001</v>
      </c>
      <c r="C8" s="8">
        <f>IF(B8="","",B8*'Raw Data'!$B$9)</f>
        <v/>
      </c>
      <c r="D8" s="9" t="n">
        <v>0.4906666666666667</v>
      </c>
      <c r="E8" s="8">
        <f>IF(D8="","",2*PI()*('Raw Data'!$B$8/100)/D8)</f>
        <v/>
      </c>
      <c r="F8" s="8">
        <f>IF(E8="","",E8^2)</f>
        <v/>
      </c>
    </row>
    <row r="9">
      <c r="A9" t="n">
        <v>16</v>
      </c>
      <c r="B9" s="7" t="n">
        <v>0.1137</v>
      </c>
      <c r="C9" s="8">
        <f>IF(B9="","",B9*'Raw Data'!$B$9)</f>
        <v/>
      </c>
      <c r="D9" s="9" t="n">
        <v>0.4113333333333333</v>
      </c>
      <c r="E9" s="8">
        <f>IF(D9="","",2*PI()*('Raw Data'!$B$8/100)/D9)</f>
        <v/>
      </c>
      <c r="F9" s="8">
        <f>IF(E9="","",E9^2)</f>
        <v/>
      </c>
    </row>
    <row r="10">
      <c r="A10" t="n">
        <v>20</v>
      </c>
      <c r="B10" s="7" t="n">
        <v>0.1417</v>
      </c>
      <c r="C10" s="8">
        <f>IF(B10="","",B10*'Raw Data'!$B$9)</f>
        <v/>
      </c>
      <c r="D10" s="9" t="n">
        <v>0.3763333333333333</v>
      </c>
      <c r="E10" s="8">
        <f>IF(D10="","",2*PI()*('Raw Data'!$B$8/100)/D10)</f>
        <v/>
      </c>
      <c r="F10" s="8">
        <f>IF(E10="","",E10^2)</f>
        <v/>
      </c>
    </row>
    <row r="12">
      <c r="A12" s="10" t="inlineStr">
        <is>
          <t>The straight-line fit of F_c against v^2</t>
        </is>
      </c>
    </row>
    <row r="13">
      <c r="A13" t="inlineStr">
        <is>
          <t>Slope, free fit (kg/m)</t>
        </is>
      </c>
      <c r="B13" s="11">
        <f>IFERROR(SLOPE($C$6:$C$10,$F$6:$F$10),"")</f>
        <v/>
      </c>
    </row>
    <row r="14">
      <c r="A14" t="inlineStr">
        <is>
          <t>Uncertainty in slope</t>
        </is>
      </c>
      <c r="B14" s="11">
        <f>IFERROR(INDEX(LINEST($C$6:$C$10,$F$6:$F$10,TRUE,TRUE),2,1),"")</f>
        <v/>
      </c>
    </row>
    <row r="15">
      <c r="A15" t="inlineStr">
        <is>
          <t>Intercept (N)</t>
        </is>
      </c>
      <c r="B15" s="11">
        <f>IFERROR(INTERCEPT($C$6:$C$10,$F$6:$F$10),"")</f>
        <v/>
      </c>
    </row>
    <row r="16">
      <c r="A16" t="inlineStr">
        <is>
          <t>R^2</t>
        </is>
      </c>
      <c r="B16" s="11">
        <f>IFERROR(RSQ($C$6:$C$10,$F$6:$F$10),"")</f>
        <v/>
      </c>
    </row>
    <row r="17">
      <c r="A17" t="inlineStr">
        <is>
          <t>Slope, forced through origin</t>
        </is>
      </c>
      <c r="B17" s="11">
        <f>IFERROR(SUMPRODUCT($F$6:$F$10,$C$6:$C$10)/SUMPRODUCT($F$6:$F$10,$F$6:$F$10),"")</f>
        <v/>
      </c>
    </row>
    <row r="18">
      <c r="A18" t="inlineStr">
        <is>
          <t>m from free slope (g)</t>
        </is>
      </c>
      <c r="B18" s="12">
        <f>IFERROR(B13*('Raw Data'!$B$8/100)*1000,"")</f>
        <v/>
      </c>
    </row>
    <row r="19">
      <c r="A19" t="inlineStr">
        <is>
          <t>m from origin-forced slope (g)</t>
        </is>
      </c>
      <c r="B19" s="12">
        <f>IFERROR(B17*('Raw Data'!$B$8/100)*1000,"")</f>
        <v/>
      </c>
    </row>
    <row r="20">
      <c r="A20" t="inlineStr">
        <is>
          <t>m from the balance (g)</t>
        </is>
      </c>
      <c r="B20" s="12">
        <f>'Raw Data'!$B$6</f>
        <v/>
      </c>
    </row>
    <row r="21">
      <c r="A21" t="inlineStr">
        <is>
          <t>% difference, free fit</t>
        </is>
      </c>
      <c r="B21" s="12">
        <f>IFERROR(100*(B18-B20)/B20,"")</f>
        <v/>
      </c>
    </row>
    <row r="22">
      <c r="A22" t="inlineStr">
        <is>
          <t>% difference, origin-forced</t>
        </is>
      </c>
      <c r="B22" s="12">
        <f>IFERROR(100*(B19-B20)/B20,"")</f>
        <v/>
      </c>
    </row>
    <row r="25" ht="30" customHeight="1">
      <c r="A25" s="2" t="inlineStr">
        <is>
          <t>The model says the intercept should be zero: no speed, no force. It is not. The gap between the two mass values is that intercept doing its work — AQ1.</t>
        </is>
      </c>
    </row>
  </sheetData>
  <mergeCells count="2">
    <mergeCell ref="A2:H2"/>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2026-10-23T04:40:54Z</dcterms:created>
  <dcterms:modified xmlns:dcterms="http://purl.org/dc/terms/" xmlns:xsi="http://www.w3.org/2001/XMLSchema-instance" xsi:type="dcterms:W3CDTF">2026-10-23T04:40:54Z</dcterms:modified>
</cp:coreProperties>
</file>